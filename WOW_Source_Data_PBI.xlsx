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ource Data" sheetId="1" state="visible" r:id="rId3"/>
    <sheet name="Assumptions" sheetId="2" state="visible" r:id="rId4"/>
    <sheet name="P&amp;L Model" sheetId="3" state="visible" r:id="rId5"/>
    <sheet name="Balance Sheet" sheetId="4" state="visible" r:id="rId6"/>
    <sheet name="Cash Flow" sheetId="5" state="visible" r:id="rId7"/>
    <sheet name="Variance Analysis" sheetId="6" state="visible" r:id="rId8"/>
    <sheet name="Dashboard" sheetId="7" state="visible" r:id="rId9"/>
    <sheet name="PBI_Data" sheetId="8" state="visible" r:id="rId10"/>
    <sheet name="Waterfal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<sst xmlns="http://schemas.openxmlformats.org/spreadsheetml/2006/main" count="2824" uniqueCount="468">
  <si>
    <t xml:space="preserve">WOOLWORTHS GROUP (ASX: WOW) — HISTORICAL DATA | AUD Millions</t>
  </si>
  <si>
    <t xml:space="preserve">All figures verified from Woolworths Annual Reports FY2022–FY2025.</t>
  </si>
  <si>
    <t xml:space="preserve">Line Item</t>
  </si>
  <si>
    <t xml:space="preserve">Unit</t>
  </si>
  <si>
    <t xml:space="preserve">FY2022</t>
  </si>
  <si>
    <t xml:space="preserve">FY2023</t>
  </si>
  <si>
    <t xml:space="preserve">FY2024</t>
  </si>
  <si>
    <t xml:space="preserve">FY2025</t>
  </si>
  <si>
    <t xml:space="preserve">Source</t>
  </si>
  <si>
    <t xml:space="preserve">INCOME STATEMENT</t>
  </si>
  <si>
    <t xml:space="preserve">Revenue</t>
  </si>
  <si>
    <t xml:space="preserve">$m</t>
  </si>
  <si>
    <t xml:space="preserve">Annual Report</t>
  </si>
  <si>
    <t xml:space="preserve">Cost of Sales</t>
  </si>
  <si>
    <t xml:space="preserve">FY2022 restated — see FY2023 report Note 1.1.1</t>
  </si>
  <si>
    <t xml:space="preserve">Gross Profit</t>
  </si>
  <si>
    <t xml:space="preserve">Calculated: Revenue – COGS</t>
  </si>
  <si>
    <t xml:space="preserve">Branch Expenses</t>
  </si>
  <si>
    <t xml:space="preserve">FY2024 incl $13m NZ impairment. FY2025 incl $346m BIG W + other</t>
  </si>
  <si>
    <t xml:space="preserve">Administration Expenses</t>
  </si>
  <si>
    <t xml:space="preserve">FY2024 incl $1,492m NZ goodwill + $209m Endeavour</t>
  </si>
  <si>
    <t xml:space="preserve">Total CODB (reported)</t>
  </si>
  <si>
    <t xml:space="preserve">Branch + Admin as reported — includes one-off items</t>
  </si>
  <si>
    <t xml:space="preserve">  One-off / Impairment Items</t>
  </si>
  <si>
    <t xml:space="preserve">FY24: NZ goodwill $1,492m + Endeavour $209m. FY25: BIG W $346m + other $223m</t>
  </si>
  <si>
    <t xml:space="preserve">  Underlying CODB</t>
  </si>
  <si>
    <t xml:space="preserve">CODB excl one-off items — use for trend analysis</t>
  </si>
  <si>
    <t xml:space="preserve">EBIT (reported)</t>
  </si>
  <si>
    <t xml:space="preserve">Gross Profit – Total CODB reported</t>
  </si>
  <si>
    <t xml:space="preserve">  Underlying EBIT</t>
  </si>
  <si>
    <t xml:space="preserve">EBIT + one-off items back — key trend metric</t>
  </si>
  <si>
    <t xml:space="preserve">Net Finance Costs</t>
  </si>
  <si>
    <t xml:space="preserve">Rising — higher debt post acquisitions</t>
  </si>
  <si>
    <t xml:space="preserve">Profit Before Tax</t>
  </si>
  <si>
    <t xml:space="preserve">Calculated: EBIT – Net Finance Costs</t>
  </si>
  <si>
    <t xml:space="preserve">Income Tax Expense</t>
  </si>
  <si>
    <t xml:space="preserve">FY2024 rate distorted by non-deductible impairment</t>
  </si>
  <si>
    <t xml:space="preserve">NPAT (reported)</t>
  </si>
  <si>
    <t xml:space="preserve">Attributable to equity holders</t>
  </si>
  <si>
    <t xml:space="preserve">  Underlying NPAT</t>
  </si>
  <si>
    <t xml:space="preserve">FY2024: adds back ~$1,291m after-tax impairment impact</t>
  </si>
  <si>
    <t xml:space="preserve">MARGIN ANALYSIS</t>
  </si>
  <si>
    <t xml:space="preserve">Gross Margin %</t>
  </si>
  <si>
    <t xml:space="preserve">%</t>
  </si>
  <si>
    <t xml:space="preserve">Calculated</t>
  </si>
  <si>
    <t xml:space="preserve">Underlying CODB %</t>
  </si>
  <si>
    <t xml:space="preserve">Underlying CODB / Revenue</t>
  </si>
  <si>
    <t xml:space="preserve">EBIT Margin % (reported)</t>
  </si>
  <si>
    <t xml:space="preserve">Underlying EBIT Margin %</t>
  </si>
  <si>
    <t xml:space="preserve">Underlying EBIT / Revenue</t>
  </si>
  <si>
    <t xml:space="preserve">Net Margin % (reported)</t>
  </si>
  <si>
    <t xml:space="preserve">BALANCE SHEET</t>
  </si>
  <si>
    <t xml:space="preserve">Total Current Assets</t>
  </si>
  <si>
    <t xml:space="preserve">Total Non-Current Assets</t>
  </si>
  <si>
    <t xml:space="preserve">Total Assets</t>
  </si>
  <si>
    <t xml:space="preserve">Total Current Liabilities</t>
  </si>
  <si>
    <t xml:space="preserve">Total Non-Current Liabilities</t>
  </si>
  <si>
    <t xml:space="preserve">Total Liabilities</t>
  </si>
  <si>
    <t xml:space="preserve">Total Equity</t>
  </si>
  <si>
    <t xml:space="preserve">CASH FLOW STATEMENT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</si>
  <si>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</si>
  <si>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</si>
  <si>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</si>
  <si>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</si>
  <si>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Free Cash Flow</t>
  </si>
  <si>
    <t xml:space="preserve">Calculate: OCF + Investing CF</t>
  </si>
  <si>
    <t xml:space="preserve">KEY NOTES FOR YOUR ANALYSIS</t>
  </si>
  <si>
    <t xml:space="preserve">• FY2022: COGS restated in FY2023 report — distribution centre costs reclassified from Branch expenses into COGS (Note 1.1.1)</t>
  </si>
  <si>
    <t xml:space="preserve">• FY2024: 53-week year (vs 52 weeks all others) — inflates revenue ~$1.3bn vs like-for-like. Disclose in any YoY comparison.</t>
  </si>
  <si>
    <t xml:space="preserve">• FY2024: $1,701m one-off charges: NZ Food goodwill impairment $1,492m + Endeavour loss of influence $209m. Non-cash. Non-recurring.</t>
  </si>
  <si>
    <t xml:space="preserve">• FY2025: $569m one-off charges: BIG W impairment $346m + MyDeal closure $52m + Healthylife $17m + restructuring $154m.</t>
  </si>
  <si>
    <t xml:space="preserve">• FY2024 NPAT $108m is reported. Underlying NPAT ~$1,399m — this is the number to use for trend/forecast analysis.</t>
  </si>
  <si>
    <t xml:space="preserve">• Gross margin IMPROVING trend: FY2022 26.3% → FY2023 26.7% → FY2024 27.3% → FY2025 27.2% — positive story.</t>
  </si>
  <si>
    <t xml:space="preserve">• OCF is strong throughout ($3.4bn–$4.8bn) — cash generation healthy even in impairment years. Important for CFO brief.</t>
  </si>
  <si>
    <t xml:space="preserve">Line Items</t>
  </si>
  <si>
    <t xml:space="preserve">FY2026E Value</t>
  </si>
  <si>
    <t xml:space="preserve">Basis / Rationale (based on FY2022–FY2025 trend)</t>
  </si>
  <si>
    <t xml:space="preserve">Low Case</t>
  </si>
  <si>
    <t xml:space="preserve">High Case</t>
  </si>
  <si>
    <t xml:space="preserve">REVENUE</t>
  </si>
  <si>
    <t xml:space="preserve">Revenue Growth %</t>
  </si>
  <si>
    <t xml:space="preserve">3-year CAGR FY2022–FY2025</t>
  </si>
  <si>
    <t xml:space="preserve">GROSS MARGIN</t>
  </si>
  <si>
    <t xml:space="preserve">Avg FY2022-FY2025</t>
  </si>
  <si>
    <t xml:space="preserve">OPERATING COSTS</t>
  </si>
  <si>
    <t xml:space="preserve">BELOW THE LINE</t>
  </si>
  <si>
    <t xml:space="preserve">Net Finance Costs ($m)</t>
  </si>
  <si>
    <t xml:space="preserve">FY2025 Value + Avg movement of  FY2022-FY2025</t>
  </si>
  <si>
    <t xml:space="preserve">Effective Tax Rate %</t>
  </si>
  <si>
    <t xml:space="preserve">FY2024 distorted by non-deductible goodwill write-off</t>
  </si>
  <si>
    <t xml:space="preserve">BALANCE SHEET GROWTH</t>
  </si>
  <si>
    <t xml:space="preserve">Current Assets Growth %</t>
  </si>
  <si>
    <t xml:space="preserve">Non-Current Assets Growth %</t>
  </si>
  <si>
    <t xml:space="preserve">Current Liabilities Growth %</t>
  </si>
  <si>
    <t xml:space="preserve">Non-Current Liabilities Growth %</t>
  </si>
  <si>
    <t xml:space="preserve">CASH FLOW</t>
  </si>
  <si>
    <t xml:space="preserve">OCF / Underlying EBIT ratio</t>
  </si>
  <si>
    <t xml:space="preserve">FY2022-FY2025 avg OCF/Underlying EBIT ~1.45x. Strong cash conversion.</t>
  </si>
  <si>
    <t xml:space="preserve">Capex ($m)</t>
  </si>
  <si>
    <t xml:space="preserve">FY2025 capex: $2,528m. Slightly higher in FY2026E — ongoing investment cycle.</t>
  </si>
  <si>
    <t xml:space="preserve">FY2026E</t>
  </si>
  <si>
    <t xml:space="preserve">Notes</t>
  </si>
  <si>
    <t xml:space="preserve">Cost of Sales (COGS)</t>
  </si>
  <si>
    <t xml:space="preserve">GROSS PROFIT</t>
  </si>
  <si>
    <t xml:space="preserve">Cost of Doing Business (CODB)</t>
  </si>
  <si>
    <t xml:space="preserve">  — One-off Items</t>
  </si>
  <si>
    <t xml:space="preserve">  — Underlying CODB</t>
  </si>
  <si>
    <t xml:space="preserve">EBIT (Reported)</t>
  </si>
  <si>
    <t xml:space="preserve">  — Underlying EBIT</t>
  </si>
  <si>
    <t xml:space="preserve">EBIT Margin % (Reported)</t>
  </si>
  <si>
    <t xml:space="preserve">PROFIT BEFORE TAX</t>
  </si>
  <si>
    <t xml:space="preserve">NET PROFIT AFTER TAX (Reported)</t>
  </si>
  <si>
    <t xml:space="preserve">  — Underlying NPAT</t>
  </si>
  <si>
    <t xml:space="preserve">Net Margin % (Reported)</t>
  </si>
  <si>
    <t xml:space="preserve">YoY GROWTH</t>
  </si>
  <si>
    <t xml:space="preserve">Gross Profit Growth %</t>
  </si>
  <si>
    <t xml:space="preserve">Underlying EBIT Growth %</t>
  </si>
  <si>
    <t xml:space="preserve">Underlying NPAT Growth %</t>
  </si>
  <si>
    <t xml:space="preserve">ASSETS</t>
  </si>
  <si>
    <t xml:space="preserve">TOTAL ASSETS</t>
  </si>
  <si>
    <t xml:space="preserve">Current Assets + Non-Current Assets</t>
  </si>
  <si>
    <t xml:space="preserve">LIABILITIES</t>
  </si>
  <si>
    <t xml:space="preserve">TOTAL LIABILITIES</t>
  </si>
  <si>
    <t xml:space="preserve">Current Liabilities + Non-Current Liabilities</t>
  </si>
  <si>
    <t xml:space="preserve">EQUITY</t>
  </si>
  <si>
    <t xml:space="preserve">TOTAL LIABILITIES + EQUITY</t>
  </si>
  <si>
    <t xml:space="preserve">Must equal Total Assets</t>
  </si>
  <si>
    <t xml:space="preserve">Balance Check (TA – TL+E)</t>
  </si>
  <si>
    <t xml:space="preserve">Should be zero — confirms BS balances</t>
  </si>
  <si>
    <t xml:space="preserve">Total Assets Growth %</t>
  </si>
  <si>
    <t xml:space="preserve">Total Liabilities Growth %</t>
  </si>
  <si>
    <t xml:space="preserve">Total Equity Growth %</t>
  </si>
  <si>
    <t xml:space="preserve">COMPOSITION</t>
  </si>
  <si>
    <t xml:space="preserve">Equity / Total Assets %</t>
  </si>
  <si>
    <t xml:space="preserve">Debt-to-Equity Ratio (TL/TE)</t>
  </si>
  <si>
    <t xml:space="preserve">Current Ratio (CA/CL)</t>
  </si>
  <si>
    <t xml:space="preserve">WOOLWORTHS GROUP (ASX: WOW) — CASH FLOW STATEMENT | AUD Millions</t>
  </si>
  <si>
    <t xml:space="preserve">FY2022–FY2025 sourced from Woolworths Annual Reports. FY2026E projected per Assumptions sheet.</t>
  </si>
  <si>
    <t xml:space="preserve">OPERATING ACTIVITIES</t>
  </si>
  <si>
    <t xml:space="preserve">INVESTING ACTIVITIES</t>
  </si>
  <si>
    <t xml:space="preserve">Capital Expenditure</t>
  </si>
  <si>
    <t xml:space="preserve">FREE CASH FLOW</t>
  </si>
  <si>
    <t xml:space="preserve">FINANCING ACTIVITIES</t>
  </si>
  <si>
    <t xml:space="preserve">NET CHANGE IN CASH</t>
  </si>
  <si>
    <t xml:space="preserve">OCF Growth %</t>
  </si>
  <si>
    <t xml:space="preserve">FCF Growth %</t>
  </si>
  <si>
    <t xml:space="preserve">FCF Conversion (FCF/OCF)</t>
  </si>
  <si>
    <t xml:space="preserve">WOOLWORTHS GROUP (ASX: WOW) — VARIANCE ANALYSIS | AUD Millions</t>
  </si>
  <si>
    <t xml:space="preserve">FY2024 vs FY2025 Actuals — variance highlights operational performance shift. Source: WOW Annual Reports.</t>
  </si>
  <si>
    <t xml:space="preserve">FY2024 ($m)</t>
  </si>
  <si>
    <t xml:space="preserve">FY2025 ($m)</t>
  </si>
  <si>
    <t xml:space="preserve">Variance ($m)</t>
  </si>
  <si>
    <t xml:space="preserve">Var %</t>
  </si>
  <si>
    <t xml:space="preserve">Total CODB (Reported)</t>
  </si>
  <si>
    <t xml:space="preserve">One-off / Impairment Items</t>
  </si>
  <si>
    <t xml:space="preserve">Underlying CODB</t>
  </si>
  <si>
    <t xml:space="preserve">PROFITABILITY</t>
  </si>
  <si>
    <t xml:space="preserve">Underlying EBIT</t>
  </si>
  <si>
    <t xml:space="preserve">NPAT (Reported)</t>
  </si>
  <si>
    <t xml:space="preserve">Underlying NPAT</t>
  </si>
  <si>
    <t xml:space="preserve">WOOLWORTHS GROUP (ASX: WOW) — FINANCIAL DASHBOARD | AUD Millions</t>
  </si>
  <si>
    <t xml:space="preserve">Summary view | FY2022–FY2026E | Prepared by Ayush Bhatt | Sources: WOW Annual Reports FY2022–FY2025</t>
  </si>
  <si>
    <t xml:space="preserve">Metric</t>
  </si>
  <si>
    <t xml:space="preserve">REVENUE &amp; PROFITABILITY</t>
  </si>
  <si>
    <t xml:space="preserve">Revenue ($m)</t>
  </si>
  <si>
    <t xml:space="preserve">Gross Profit ($m)</t>
  </si>
  <si>
    <t xml:space="preserve">EBIT &amp; EARNINGS</t>
  </si>
  <si>
    <t xml:space="preserve">Underlying EBIT ($m)</t>
  </si>
  <si>
    <t xml:space="preserve">NPAT Reported ($m)</t>
  </si>
  <si>
    <t xml:space="preserve">Underlying NPAT ($m)</t>
  </si>
  <si>
    <t xml:space="preserve">Operating Cash Flow ($m)</t>
  </si>
  <si>
    <t xml:space="preserve">Free Cash Flow ($m)</t>
  </si>
  <si>
    <t xml:space="preserve">Total Assets ($m)</t>
  </si>
  <si>
    <t xml:space="preserve">Total Equity ($m)</t>
  </si>
  <si>
    <t xml:space="preserve">Debt-to-Equity (TL/TE)</t>
  </si>
  <si>
    <t xml:space="preserve">FY2026E SCENARIO SUMMARY</t>
  </si>
  <si>
    <t xml:space="preserve">Base Case</t>
  </si>
  <si>
    <t xml:space="preserve">Basis</t>
  </si>
  <si>
    <t xml:space="preserve">2.82%</t>
  </si>
  <si>
    <t xml:space="preserve">4.32%</t>
  </si>
  <si>
    <t xml:space="preserve">5.82%</t>
  </si>
  <si>
    <t xml:space="preserve">3-yr CAGR range</t>
  </si>
  <si>
    <t xml:space="preserve">26.5%</t>
  </si>
  <si>
    <t xml:space="preserve">26.9%</t>
  </si>
  <si>
    <t xml:space="preserve">27.2%</t>
  </si>
  <si>
    <t xml:space="preserve">Avg FY2022–FY2025</t>
  </si>
  <si>
    <t xml:space="preserve">22.4%</t>
  </si>
  <si>
    <t xml:space="preserve">22.8%</t>
  </si>
  <si>
    <t xml:space="preserve">23.3%</t>
  </si>
  <si>
    <t xml:space="preserve">$870m</t>
  </si>
  <si>
    <t xml:space="preserve">$880m</t>
  </si>
  <si>
    <t xml:space="preserve">$890m</t>
  </si>
  <si>
    <t xml:space="preserve">FY2025 + avg movement</t>
  </si>
  <si>
    <t xml:space="preserve">Effective Tax Rate</t>
  </si>
  <si>
    <t xml:space="preserve">28.0%</t>
  </si>
  <si>
    <t xml:space="preserve">29.0%</t>
  </si>
  <si>
    <t xml:space="preserve">30.0%</t>
  </si>
  <si>
    <t xml:space="preserve">Normalised post FY2024</t>
  </si>
  <si>
    <t xml:space="preserve">Year</t>
  </si>
  <si>
    <t xml:space="preserve">Category</t>
  </si>
  <si>
    <t xml:space="preserve">Sub_Category</t>
  </si>
  <si>
    <t xml:space="preserve">Value</t>
  </si>
  <si>
    <t xml:space="preserve">Value_Type</t>
  </si>
  <si>
    <t xml:space="preserve">Is_Forecast</t>
  </si>
  <si>
    <t xml:space="preserve">Display_Label</t>
  </si>
  <si>
    <t xml:space="preserve">P&amp;L</t>
  </si>
  <si>
    <t xml:space="preserve">Income Statement</t>
  </si>
  <si>
    <t xml:space="preserve">Dollar</t>
  </si>
  <si>
    <t xml:space="preserve">No</t>
  </si>
  <si>
    <t xml:space="preserve">$60,849m</t>
  </si>
  <si>
    <t xml:space="preserve">$64,294m</t>
  </si>
  <si>
    <t xml:space="preserve">$67,922m</t>
  </si>
  <si>
    <t xml:space="preserve">$69,077m</t>
  </si>
  <si>
    <t xml:space="preserve">Yes</t>
  </si>
  <si>
    <t xml:space="preserve">$72,060m</t>
  </si>
  <si>
    <t xml:space="preserve">$44,878m</t>
  </si>
  <si>
    <t xml:space="preserve">$47,118m</t>
  </si>
  <si>
    <t xml:space="preserve">$49,370m</t>
  </si>
  <si>
    <t xml:space="preserve">$50,262m</t>
  </si>
  <si>
    <t xml:space="preserve">$52,691m</t>
  </si>
  <si>
    <t xml:space="preserve">$15,971m</t>
  </si>
  <si>
    <t xml:space="preserve">$17,176m</t>
  </si>
  <si>
    <t xml:space="preserve">$18,552m</t>
  </si>
  <si>
    <t xml:space="preserve">$18,815m</t>
  </si>
  <si>
    <t xml:space="preserve">$19,368m</t>
  </si>
  <si>
    <t xml:space="preserve">Total CODB Reported</t>
  </si>
  <si>
    <t xml:space="preserve">$13,577m</t>
  </si>
  <si>
    <t xml:space="preserve">$14,454m</t>
  </si>
  <si>
    <t xml:space="preserve">$17,246m</t>
  </si>
  <si>
    <t xml:space="preserve">$16,903m</t>
  </si>
  <si>
    <t xml:space="preserve">$16,452m</t>
  </si>
  <si>
    <t xml:space="preserve">One-off Items</t>
  </si>
  <si>
    <t xml:space="preserve">$0m</t>
  </si>
  <si>
    <t xml:space="preserve">$1,701m</t>
  </si>
  <si>
    <t xml:space="preserve">$569m</t>
  </si>
  <si>
    <t xml:space="preserve">$15,545m</t>
  </si>
  <si>
    <t xml:space="preserve">$16,334m</t>
  </si>
  <si>
    <t xml:space="preserve">EBIT Reported</t>
  </si>
  <si>
    <t xml:space="preserve">$2,691m</t>
  </si>
  <si>
    <t xml:space="preserve">$2,999m</t>
  </si>
  <si>
    <t xml:space="preserve">$1,616m</t>
  </si>
  <si>
    <t xml:space="preserve">$2,185m</t>
  </si>
  <si>
    <t xml:space="preserve">$2,916m</t>
  </si>
  <si>
    <t xml:space="preserve">$3,317m</t>
  </si>
  <si>
    <t xml:space="preserve">$2,754m</t>
  </si>
  <si>
    <t xml:space="preserve">$600m</t>
  </si>
  <si>
    <t xml:space="preserve">$677m</t>
  </si>
  <si>
    <t xml:space="preserve">$740m</t>
  </si>
  <si>
    <t xml:space="preserve">$811m</t>
  </si>
  <si>
    <t xml:space="preserve">$2,091m</t>
  </si>
  <si>
    <t xml:space="preserve">$2,322m</t>
  </si>
  <si>
    <t xml:space="preserve">$876m</t>
  </si>
  <si>
    <t xml:space="preserve">$1,374m</t>
  </si>
  <si>
    <t xml:space="preserve">$2,036m</t>
  </si>
  <si>
    <t xml:space="preserve">$534m</t>
  </si>
  <si>
    <t xml:space="preserve">$693m</t>
  </si>
  <si>
    <t xml:space="preserve">$759m</t>
  </si>
  <si>
    <t xml:space="preserve">$421m</t>
  </si>
  <si>
    <t xml:space="preserve">$590m</t>
  </si>
  <si>
    <t xml:space="preserve">NPAT Reported</t>
  </si>
  <si>
    <t xml:space="preserve">$1,547m</t>
  </si>
  <si>
    <t xml:space="preserve">$1,618m</t>
  </si>
  <si>
    <t xml:space="preserve">$108m</t>
  </si>
  <si>
    <t xml:space="preserve">$963m</t>
  </si>
  <si>
    <t xml:space="preserve">$1,446m</t>
  </si>
  <si>
    <t xml:space="preserve">$1,399m</t>
  </si>
  <si>
    <t xml:space="preserve">Margin Analysis</t>
  </si>
  <si>
    <t xml:space="preserve">Percentage</t>
  </si>
  <si>
    <t xml:space="preserve">26.2%</t>
  </si>
  <si>
    <t xml:space="preserve">26.7%</t>
  </si>
  <si>
    <t xml:space="preserve">27.3%</t>
  </si>
  <si>
    <t xml:space="preserve">22.3%</t>
  </si>
  <si>
    <t xml:space="preserve">22.5%</t>
  </si>
  <si>
    <t xml:space="preserve">22.9%</t>
  </si>
  <si>
    <t xml:space="preserve">23.6%</t>
  </si>
  <si>
    <t xml:space="preserve">EBIT Margin % Reported</t>
  </si>
  <si>
    <t xml:space="preserve">4.4%</t>
  </si>
  <si>
    <t xml:space="preserve">4.7%</t>
  </si>
  <si>
    <t xml:space="preserve">2.4%</t>
  </si>
  <si>
    <t xml:space="preserve">3.2%</t>
  </si>
  <si>
    <t xml:space="preserve">4.0%</t>
  </si>
  <si>
    <t xml:space="preserve">4.9%</t>
  </si>
  <si>
    <t xml:space="preserve">Net Margin % Reported</t>
  </si>
  <si>
    <t xml:space="preserve">2.5%</t>
  </si>
  <si>
    <t xml:space="preserve">0.2%</t>
  </si>
  <si>
    <t xml:space="preserve">1.4%</t>
  </si>
  <si>
    <t xml:space="preserve">2.0%</t>
  </si>
  <si>
    <t xml:space="preserve">YoY Growth</t>
  </si>
  <si>
    <t xml:space="preserve">Growth</t>
  </si>
  <si>
    <t xml:space="preserve">5.7%</t>
  </si>
  <si>
    <t xml:space="preserve">5.6%</t>
  </si>
  <si>
    <t xml:space="preserve">1.7%</t>
  </si>
  <si>
    <t xml:space="preserve">4.3%</t>
  </si>
  <si>
    <t xml:space="preserve">7.5%</t>
  </si>
  <si>
    <t xml:space="preserve">8.0%</t>
  </si>
  <si>
    <t xml:space="preserve">2.9%</t>
  </si>
  <si>
    <t xml:space="preserve">11.4%</t>
  </si>
  <si>
    <t xml:space="preserve">10.6%</t>
  </si>
  <si>
    <t xml:space="preserve">-17.0%</t>
  </si>
  <si>
    <t xml:space="preserve">5.9%</t>
  </si>
  <si>
    <t xml:space="preserve">4.6%</t>
  </si>
  <si>
    <t xml:space="preserve">N/M</t>
  </si>
  <si>
    <t xml:space="preserve">50.1%</t>
  </si>
  <si>
    <t xml:space="preserve">Balance Sheet</t>
  </si>
  <si>
    <t xml:space="preserve">Assets</t>
  </si>
  <si>
    <t xml:space="preserve">$6,110m</t>
  </si>
  <si>
    <t xml:space="preserve">$6,375m</t>
  </si>
  <si>
    <t xml:space="preserve">$6,991m</t>
  </si>
  <si>
    <t xml:space="preserve">$7,306m</t>
  </si>
  <si>
    <t xml:space="preserve">$27,163m</t>
  </si>
  <si>
    <t xml:space="preserve">$27,273m</t>
  </si>
  <si>
    <t xml:space="preserve">$26,945m</t>
  </si>
  <si>
    <t xml:space="preserve">$26,838m</t>
  </si>
  <si>
    <t xml:space="preserve">$26,972m</t>
  </si>
  <si>
    <t xml:space="preserve">$33,273m</t>
  </si>
  <si>
    <t xml:space="preserve">$33,648m</t>
  </si>
  <si>
    <t xml:space="preserve">$33,936m</t>
  </si>
  <si>
    <t xml:space="preserve">$33,829m</t>
  </si>
  <si>
    <t xml:space="preserve">$34,278m</t>
  </si>
  <si>
    <t xml:space="preserve">Liabilities</t>
  </si>
  <si>
    <t xml:space="preserve">$10,750m</t>
  </si>
  <si>
    <t xml:space="preserve">$11,886m</t>
  </si>
  <si>
    <t xml:space="preserve">$12,819m</t>
  </si>
  <si>
    <t xml:space="preserve">$12,297m</t>
  </si>
  <si>
    <t xml:space="preserve">$12,850m</t>
  </si>
  <si>
    <t xml:space="preserve">$16,419m</t>
  </si>
  <si>
    <t xml:space="preserve">$15,197m</t>
  </si>
  <si>
    <t xml:space="preserve">$15,547m</t>
  </si>
  <si>
    <t xml:space="preserve">$16,570m</t>
  </si>
  <si>
    <t xml:space="preserve">$16,620m</t>
  </si>
  <si>
    <t xml:space="preserve">$27,169m</t>
  </si>
  <si>
    <t xml:space="preserve">$27,083m</t>
  </si>
  <si>
    <t xml:space="preserve">$28,366m</t>
  </si>
  <si>
    <t xml:space="preserve">$28,867m</t>
  </si>
  <si>
    <t xml:space="preserve">$29,470m</t>
  </si>
  <si>
    <t xml:space="preserve">Equity</t>
  </si>
  <si>
    <t xml:space="preserve">$6,104m</t>
  </si>
  <si>
    <t xml:space="preserve">$6,565m</t>
  </si>
  <si>
    <t xml:space="preserve">$5,570m</t>
  </si>
  <si>
    <t xml:space="preserve">$4,962m</t>
  </si>
  <si>
    <t xml:space="preserve">$4,808m</t>
  </si>
  <si>
    <t xml:space="preserve">Ratios</t>
  </si>
  <si>
    <t xml:space="preserve">Ratio</t>
  </si>
  <si>
    <t xml:space="preserve">18.35x</t>
  </si>
  <si>
    <t xml:space="preserve">19.51x</t>
  </si>
  <si>
    <t xml:space="preserve">16.41x</t>
  </si>
  <si>
    <t xml:space="preserve">14.67x</t>
  </si>
  <si>
    <t xml:space="preserve">14.03x</t>
  </si>
  <si>
    <t xml:space="preserve">Debt-to-Equity Ratio</t>
  </si>
  <si>
    <t xml:space="preserve">x</t>
  </si>
  <si>
    <t xml:space="preserve">4.45x</t>
  </si>
  <si>
    <t xml:space="preserve">4.12x</t>
  </si>
  <si>
    <t xml:space="preserve">5.09x</t>
  </si>
  <si>
    <t xml:space="preserve">5.82x</t>
  </si>
  <si>
    <t xml:space="preserve">6.13x</t>
  </si>
  <si>
    <t xml:space="preserve">Current Ratio</t>
  </si>
  <si>
    <t xml:space="preserve">0.57x</t>
  </si>
  <si>
    <t xml:space="preserve">0.54x</t>
  </si>
  <si>
    <t xml:space="preserve">0.55x</t>
  </si>
  <si>
    <t xml:space="preserve">Cash Flow</t>
  </si>
  <si>
    <t xml:space="preserve">Operating</t>
  </si>
  <si>
    <t xml:space="preserve">$3,378m</t>
  </si>
  <si>
    <t xml:space="preserve">$4,754m</t>
  </si>
  <si>
    <t xml:space="preserve">$4,359m</t>
  </si>
  <si>
    <t xml:space="preserve">$4,550m</t>
  </si>
  <si>
    <t xml:space="preserve">$4,228m</t>
  </si>
  <si>
    <t xml:space="preserve">Investing</t>
  </si>
  <si>
    <t xml:space="preserve">$-2,457m</t>
  </si>
  <si>
    <t xml:space="preserve">$-1,844m</t>
  </si>
  <si>
    <t xml:space="preserve">$-2,277m</t>
  </si>
  <si>
    <t xml:space="preserve">$-1,926m</t>
  </si>
  <si>
    <t xml:space="preserve">$-2,100m</t>
  </si>
  <si>
    <t xml:space="preserve">Free CF</t>
  </si>
  <si>
    <t xml:space="preserve">$921m</t>
  </si>
  <si>
    <t xml:space="preserve">$2,910m</t>
  </si>
  <si>
    <t xml:space="preserve">$2,082m</t>
  </si>
  <si>
    <t xml:space="preserve">$2,624m</t>
  </si>
  <si>
    <t xml:space="preserve">$2,128m</t>
  </si>
  <si>
    <t xml:space="preserve">Financing</t>
  </si>
  <si>
    <t xml:space="preserve">$-1,337m</t>
  </si>
  <si>
    <t xml:space="preserve">$-2,809m</t>
  </si>
  <si>
    <t xml:space="preserve">$-1,919m</t>
  </si>
  <si>
    <t xml:space="preserve">$-2,649m</t>
  </si>
  <si>
    <t xml:space="preserve">$-2,179m</t>
  </si>
  <si>
    <t xml:space="preserve">Net</t>
  </si>
  <si>
    <t xml:space="preserve">$-416m</t>
  </si>
  <si>
    <t xml:space="preserve">$101m</t>
  </si>
  <si>
    <t xml:space="preserve">$163m</t>
  </si>
  <si>
    <t xml:space="preserve">$-25m</t>
  </si>
  <si>
    <t xml:space="preserve">$-51m</t>
  </si>
  <si>
    <t xml:space="preserve">40.7%</t>
  </si>
  <si>
    <t xml:space="preserve">-8.3%</t>
  </si>
  <si>
    <t xml:space="preserve">-7.1%</t>
  </si>
  <si>
    <t xml:space="preserve">-28.4%</t>
  </si>
  <si>
    <t xml:space="preserve">26.0%</t>
  </si>
  <si>
    <t xml:space="preserve">-18.9%</t>
  </si>
  <si>
    <t xml:space="preserve">FCF Conversion</t>
  </si>
  <si>
    <t xml:space="preserve">61.2%</t>
  </si>
  <si>
    <t xml:space="preserve">47.8%</t>
  </si>
  <si>
    <t xml:space="preserve">57.7%</t>
  </si>
  <si>
    <t xml:space="preserve">50.3%</t>
  </si>
  <si>
    <t xml:space="preserve">Variance</t>
  </si>
  <si>
    <t xml:space="preserve">Variance $m</t>
  </si>
  <si>
    <t xml:space="preserve">Variance_Dollar</t>
  </si>
  <si>
    <t xml:space="preserve">Variance %</t>
  </si>
  <si>
    <t xml:space="preserve">Variance_Pct</t>
  </si>
  <si>
    <t xml:space="preserve">1.8%</t>
  </si>
  <si>
    <t xml:space="preserve">$11,707m</t>
  </si>
  <si>
    <t xml:space="preserve">$12,768m</t>
  </si>
  <si>
    <t xml:space="preserve">9.1%</t>
  </si>
  <si>
    <t xml:space="preserve">Admin Expenses</t>
  </si>
  <si>
    <t xml:space="preserve">$5,539m</t>
  </si>
  <si>
    <t xml:space="preserve">$4,135m</t>
  </si>
  <si>
    <t xml:space="preserve">-25.3%</t>
  </si>
  <si>
    <t xml:space="preserve">-2.0%</t>
  </si>
  <si>
    <t xml:space="preserve">5.1%</t>
  </si>
  <si>
    <t xml:space="preserve">35.2%</t>
  </si>
  <si>
    <t xml:space="preserve">-31.2%</t>
  </si>
  <si>
    <t xml:space="preserve">Scenarios</t>
  </si>
  <si>
    <t xml:space="preserve">Scenario</t>
  </si>
  <si>
    <t xml:space="preserve">2.8%</t>
  </si>
  <si>
    <t xml:space="preserve">5.8%</t>
  </si>
  <si>
    <t xml:space="preserve">26.6%</t>
  </si>
  <si>
    <t xml:space="preserve">FY2024 Start</t>
  </si>
  <si>
    <t xml:space="preserve">FY2024 Underlying EBIT</t>
  </si>
  <si>
    <t xml:space="preserve">Waterfall</t>
  </si>
  <si>
    <t xml:space="preserve">EBIT Bridge</t>
  </si>
  <si>
    <t xml:space="preserve">$3,317m — FY2024 starting EBIT</t>
  </si>
  <si>
    <t xml:space="preserve">Gross Profit Improvement</t>
  </si>
  <si>
    <t xml:space="preserve">+$263m — Revenue growth net of COGS increase</t>
  </si>
  <si>
    <t xml:space="preserve">CODB Increase</t>
  </si>
  <si>
    <t xml:space="preserve">Underlying CODB Rise</t>
  </si>
  <si>
    <t xml:space="preserve">-$789m — Cost base expansion, branch costs +$1,061m</t>
  </si>
  <si>
    <t xml:space="preserve">Finance Costs</t>
  </si>
  <si>
    <t xml:space="preserve">Net Finance Cost Increase</t>
  </si>
  <si>
    <t xml:space="preserve">-$71m — Rising debt post acquisitions</t>
  </si>
  <si>
    <t xml:space="preserve">Other</t>
  </si>
  <si>
    <t xml:space="preserve">Other / Rounding</t>
  </si>
  <si>
    <t xml:space="preserve">+$34m — Other items and rounding</t>
  </si>
  <si>
    <t xml:space="preserve">FY2025 End</t>
  </si>
  <si>
    <t xml:space="preserve">FY2025 Underlying EBIT</t>
  </si>
  <si>
    <t xml:space="preserve">$2,754m — FY2025 landing EBIT</t>
  </si>
  <si>
    <t xml:space="preserve">Current Assets</t>
  </si>
  <si>
    <t xml:space="preserve">Stacked</t>
  </si>
  <si>
    <t xml:space="preserve">Stack_Asset</t>
  </si>
  <si>
    <t xml:space="preserve">Non-Current Assets</t>
  </si>
  <si>
    <t xml:space="preserve">Current Liabilities</t>
  </si>
  <si>
    <t xml:space="preserve">Stack_Liability</t>
  </si>
  <si>
    <t xml:space="preserve">Non-Current Liabilities</t>
  </si>
  <si>
    <t xml:space="preserve">Gauge_Min</t>
  </si>
  <si>
    <t xml:space="preserve">FCF Conversion Gauge</t>
  </si>
  <si>
    <t xml:space="preserve">Gauge</t>
  </si>
  <si>
    <t xml:space="preserve">0% — Minimum</t>
  </si>
  <si>
    <t xml:space="preserve">Gauge_Max</t>
  </si>
  <si>
    <t xml:space="preserve">100% — Maximum</t>
  </si>
  <si>
    <t xml:space="preserve">Gauge_Target</t>
  </si>
  <si>
    <t xml:space="preserve">50% — Healthy threshold for retail sector</t>
  </si>
  <si>
    <t xml:space="preserve">Gauge_Actual</t>
  </si>
  <si>
    <t xml:space="preserve">57.7% — WOW FY2025 actual (strong)</t>
  </si>
  <si>
    <t xml:space="preserve">D/E Benchmark (Retail Avg)</t>
  </si>
  <si>
    <t xml:space="preserve">Benchmark</t>
  </si>
  <si>
    <t xml:space="preserve">3.5x — Australian retail sector average D/E benchmark</t>
  </si>
  <si>
    <t xml:space="preserve">-0.9pp — Margin compression</t>
  </si>
  <si>
    <t xml:space="preserve">+0.8pp — Cost ratio deterioration</t>
  </si>
  <si>
    <t xml:space="preserve">+9.9pp — FCF efficiency improved</t>
  </si>
  <si>
    <t xml:space="preserve">Metric_Sort</t>
  </si>
  <si>
    <t xml:space="preserve">Scenario_Sort</t>
  </si>
  <si>
    <t xml:space="preserve">COGS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</si>
</sst>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%"/>
    <numFmt numFmtId="167" formatCode="_ * #,##0.00_ ;_ * \-#,##0.00_ ;_ * \-??_ ;_ @_ "/>
    <numFmt numFmtId="168" formatCode="0%"/>
    <numFmt numFmtId="169" formatCode="_ * #,##0_ ;_ * \-#,##0_ ;_ * \-??_ ;_ @_ "/>
    <numFmt numFmtId="170" formatCode="0.0%"/>
    <numFmt numFmtId="171" formatCode="_(* #,##0_);_(* \(#,##0\);_(* \-??_);_(@_)"/>
    <numFmt numFmtId="172" formatCode="0.0\x"/>
    <numFmt numFmtId="173" formatCode="0.00\x"/>
    <numFmt numFmtId="174" formatCode="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theme="1" tint="0.3498"/>
      <name val="Arial"/>
      <family val="2"/>
      <charset val="1"/>
    </font>
    <font>
      <sz val="9"/>
      <color theme="1" tint="0.3498"/>
      <name val="Arial"/>
      <family val="2"/>
      <charset val="1"/>
    </font>
    <font>
      <i val="true"/>
      <sz val="9"/>
      <color theme="1" tint="0.3498"/>
      <name val="Arial"/>
      <family val="2"/>
      <charset val="1"/>
    </font>
    <font>
      <sz val="11"/>
      <color theme="1" tint="0.3498"/>
      <name val="Calibri"/>
      <family val="2"/>
      <charset val="1"/>
    </font>
    <font>
      <b val="true"/>
      <sz val="10"/>
      <color theme="1" tint="0.3498"/>
      <name val="Arial"/>
      <family val="2"/>
      <charset val="1"/>
    </font>
    <font>
      <i val="true"/>
      <sz val="10"/>
      <color theme="1" tint="0.3498"/>
      <name val="Arial"/>
      <family val="2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i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404040"/>
      <name val="Arial"/>
      <family val="2"/>
      <charset val="1"/>
    </font>
    <font>
      <i val="true"/>
      <sz val="9"/>
      <color rgb="FF404040"/>
      <name val="Arial"/>
      <family val="2"/>
      <charset val="1"/>
    </font>
    <font>
      <b val="true"/>
      <i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theme="1" tint="0.2498"/>
      </left>
      <right style="thin">
        <color theme="1" tint="0.2498"/>
      </right>
      <top style="thin">
        <color theme="1" tint="0.2498"/>
      </top>
      <bottom style="thin">
        <color theme="1" tint="0.2498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/>
      <right/>
      <top style="thin">
        <color theme="0" tint="-0.15"/>
      </top>
      <bottom/>
      <diagonal/>
    </border>
    <border diagonalUp="false" diagonalDown="false">
      <left style="thin">
        <color theme="0" tint="-0.15"/>
      </left>
      <right/>
      <top/>
      <bottom/>
      <diagonal/>
    </border>
    <border diagonalUp="false" diagonalDown="false">
      <left style="thin">
        <color theme="1" tint="0.2498"/>
      </left>
      <right style="thin">
        <color theme="1" tint="0.2498"/>
      </right>
      <top style="thin">
        <color theme="1" tint="0.2498"/>
      </top>
      <bottom/>
      <diagonal/>
    </border>
    <border diagonalUp="false" diagonalDown="false">
      <left style="thin">
        <color rgb="FF404040"/>
      </left>
      <right/>
      <top style="thin">
        <color rgb="FF404040"/>
      </top>
      <bottom style="thin">
        <color rgb="FF404040"/>
      </bottom>
      <diagonal/>
    </border>
    <border diagonalUp="false" diagonalDown="false"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 diagonalUp="false" diagonalDown="false">
      <left style="thin">
        <color rgb="FF404040"/>
      </left>
      <right/>
      <top/>
      <bottom/>
      <diagonal/>
    </border>
    <border diagonalUp="false" diagonalDown="false">
      <left style="thin">
        <color rgb="FF404040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9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1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14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14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4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C16" activeCellId="0" sqref="C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.56"/>
    <col collapsed="false" customWidth="true" hidden="false" outlineLevel="0" max="6" min="3" style="0" width="13"/>
    <col collapsed="false" customWidth="true" hidden="false" outlineLevel="0" max="7" min="7" style="0" width="91.56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4.2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4.25" hidden="false" customHeight="true" outlineLevel="0" collapsed="false">
      <c r="A6" s="6" t="s">
        <v>10</v>
      </c>
      <c r="B6" s="7" t="s">
        <v>11</v>
      </c>
      <c r="C6" s="8" t="n">
        <v>60849</v>
      </c>
      <c r="D6" s="8" t="n">
        <v>64294</v>
      </c>
      <c r="E6" s="8" t="n">
        <v>67922</v>
      </c>
      <c r="F6" s="8" t="n">
        <v>69077</v>
      </c>
      <c r="G6" s="9" t="s">
        <v>12</v>
      </c>
    </row>
    <row r="7" customFormat="false" ht="14.25" hidden="false" customHeight="true" outlineLevel="0" collapsed="false">
      <c r="A7" s="6" t="s">
        <v>13</v>
      </c>
      <c r="B7" s="7" t="s">
        <v>11</v>
      </c>
      <c r="C7" s="8" t="n">
        <v>44878</v>
      </c>
      <c r="D7" s="8" t="n">
        <v>47118</v>
      </c>
      <c r="E7" s="8" t="n">
        <v>49370</v>
      </c>
      <c r="F7" s="8" t="n">
        <v>50262</v>
      </c>
      <c r="G7" s="9" t="s">
        <v>14</v>
      </c>
    </row>
    <row r="8" customFormat="false" ht="14.25" hidden="false" customHeight="true" outlineLevel="0" collapsed="false">
      <c r="A8" s="6" t="s">
        <v>15</v>
      </c>
      <c r="B8" s="7" t="s">
        <v>11</v>
      </c>
      <c r="C8" s="10" t="n">
        <f aca="false">C6-C7</f>
        <v>15971</v>
      </c>
      <c r="D8" s="10" t="n">
        <f aca="false">D6-D7</f>
        <v>17176</v>
      </c>
      <c r="E8" s="10" t="n">
        <f aca="false">E6-E7</f>
        <v>18552</v>
      </c>
      <c r="F8" s="10" t="n">
        <f aca="false">F6-F7</f>
        <v>18815</v>
      </c>
      <c r="G8" s="9" t="s">
        <v>16</v>
      </c>
    </row>
    <row r="9" customFormat="false" ht="14.25" hidden="false" customHeight="true" outlineLevel="0" collapsed="false">
      <c r="A9" s="6" t="s">
        <v>17</v>
      </c>
      <c r="B9" s="7" t="s">
        <v>11</v>
      </c>
      <c r="C9" s="8" t="n">
        <v>10388</v>
      </c>
      <c r="D9" s="8" t="n">
        <v>10770</v>
      </c>
      <c r="E9" s="8" t="n">
        <v>11707</v>
      </c>
      <c r="F9" s="8" t="n">
        <v>12768</v>
      </c>
      <c r="G9" s="9" t="s">
        <v>18</v>
      </c>
    </row>
    <row r="10" customFormat="false" ht="14.25" hidden="false" customHeight="true" outlineLevel="0" collapsed="false">
      <c r="A10" s="6" t="s">
        <v>19</v>
      </c>
      <c r="B10" s="7" t="s">
        <v>11</v>
      </c>
      <c r="C10" s="8" t="n">
        <v>3189</v>
      </c>
      <c r="D10" s="8" t="n">
        <v>3684</v>
      </c>
      <c r="E10" s="8" t="n">
        <v>5539</v>
      </c>
      <c r="F10" s="8" t="n">
        <v>4135</v>
      </c>
      <c r="G10" s="9" t="s">
        <v>20</v>
      </c>
    </row>
    <row r="11" customFormat="false" ht="14.25" hidden="false" customHeight="true" outlineLevel="0" collapsed="false">
      <c r="A11" s="6" t="s">
        <v>21</v>
      </c>
      <c r="B11" s="7" t="s">
        <v>11</v>
      </c>
      <c r="C11" s="8" t="n">
        <v>13577</v>
      </c>
      <c r="D11" s="8" t="n">
        <v>14454</v>
      </c>
      <c r="E11" s="8" t="n">
        <v>17246</v>
      </c>
      <c r="F11" s="8" t="n">
        <v>16903</v>
      </c>
      <c r="G11" s="9" t="s">
        <v>22</v>
      </c>
    </row>
    <row r="12" customFormat="false" ht="14.25" hidden="false" customHeight="true" outlineLevel="0" collapsed="false">
      <c r="A12" s="6" t="s">
        <v>23</v>
      </c>
      <c r="B12" s="7" t="s">
        <v>11</v>
      </c>
      <c r="C12" s="8" t="n">
        <v>0</v>
      </c>
      <c r="D12" s="8" t="n">
        <v>0</v>
      </c>
      <c r="E12" s="8" t="n">
        <v>1701</v>
      </c>
      <c r="F12" s="8" t="n">
        <v>569</v>
      </c>
      <c r="G12" s="9" t="s">
        <v>24</v>
      </c>
    </row>
    <row r="13" customFormat="false" ht="14.25" hidden="false" customHeight="true" outlineLevel="0" collapsed="false">
      <c r="A13" s="6" t="s">
        <v>25</v>
      </c>
      <c r="B13" s="7" t="s">
        <v>11</v>
      </c>
      <c r="C13" s="8" t="n">
        <v>13577</v>
      </c>
      <c r="D13" s="8" t="n">
        <v>14454</v>
      </c>
      <c r="E13" s="8" t="n">
        <v>15545</v>
      </c>
      <c r="F13" s="8" t="n">
        <v>16334</v>
      </c>
      <c r="G13" s="9" t="s">
        <v>26</v>
      </c>
    </row>
    <row r="14" customFormat="false" ht="14.25" hidden="false" customHeight="true" outlineLevel="0" collapsed="false">
      <c r="A14" s="6" t="s">
        <v>27</v>
      </c>
      <c r="B14" s="7" t="s">
        <v>11</v>
      </c>
      <c r="C14" s="8" t="n">
        <v>2691</v>
      </c>
      <c r="D14" s="8" t="n">
        <v>2999</v>
      </c>
      <c r="E14" s="8" t="n">
        <v>1616</v>
      </c>
      <c r="F14" s="8" t="n">
        <v>2185</v>
      </c>
      <c r="G14" s="9" t="s">
        <v>28</v>
      </c>
    </row>
    <row r="15" customFormat="false" ht="14.25" hidden="false" customHeight="true" outlineLevel="0" collapsed="false">
      <c r="A15" s="6" t="s">
        <v>29</v>
      </c>
      <c r="B15" s="7" t="s">
        <v>11</v>
      </c>
      <c r="C15" s="8" t="n">
        <v>2691</v>
      </c>
      <c r="D15" s="8" t="n">
        <v>2999</v>
      </c>
      <c r="E15" s="8" t="n">
        <v>3317</v>
      </c>
      <c r="F15" s="8" t="n">
        <v>2754</v>
      </c>
      <c r="G15" s="9" t="s">
        <v>30</v>
      </c>
    </row>
    <row r="16" customFormat="false" ht="14.25" hidden="false" customHeight="true" outlineLevel="0" collapsed="false">
      <c r="A16" s="6" t="s">
        <v>31</v>
      </c>
      <c r="B16" s="7" t="s">
        <v>11</v>
      </c>
      <c r="C16" s="8" t="n">
        <v>600</v>
      </c>
      <c r="D16" s="8" t="n">
        <v>677</v>
      </c>
      <c r="E16" s="8" t="n">
        <v>740</v>
      </c>
      <c r="F16" s="8" t="n">
        <v>811</v>
      </c>
      <c r="G16" s="9" t="s">
        <v>32</v>
      </c>
    </row>
    <row r="17" customFormat="false" ht="14.25" hidden="false" customHeight="true" outlineLevel="0" collapsed="false">
      <c r="A17" s="6" t="s">
        <v>33</v>
      </c>
      <c r="B17" s="7" t="s">
        <v>11</v>
      </c>
      <c r="C17" s="10" t="n">
        <f aca="false">C14-C16</f>
        <v>2091</v>
      </c>
      <c r="D17" s="10" t="n">
        <f aca="false">D14-D16</f>
        <v>2322</v>
      </c>
      <c r="E17" s="10" t="n">
        <f aca="false">E14-E16</f>
        <v>876</v>
      </c>
      <c r="F17" s="10" t="n">
        <f aca="false">F14-F16</f>
        <v>1374</v>
      </c>
      <c r="G17" s="9" t="s">
        <v>34</v>
      </c>
    </row>
    <row r="18" customFormat="false" ht="14.25" hidden="false" customHeight="true" outlineLevel="0" collapsed="false">
      <c r="A18" s="6" t="s">
        <v>35</v>
      </c>
      <c r="B18" s="7" t="s">
        <v>11</v>
      </c>
      <c r="C18" s="8" t="n">
        <v>534</v>
      </c>
      <c r="D18" s="8" t="n">
        <v>693</v>
      </c>
      <c r="E18" s="8" t="n">
        <v>759</v>
      </c>
      <c r="F18" s="8" t="n">
        <v>421</v>
      </c>
      <c r="G18" s="9" t="s">
        <v>36</v>
      </c>
    </row>
    <row r="19" customFormat="false" ht="14.25" hidden="false" customHeight="true" outlineLevel="0" collapsed="false">
      <c r="A19" s="6" t="s">
        <v>37</v>
      </c>
      <c r="B19" s="7" t="s">
        <v>11</v>
      </c>
      <c r="C19" s="8" t="n">
        <v>1547</v>
      </c>
      <c r="D19" s="8" t="n">
        <v>1618</v>
      </c>
      <c r="E19" s="8" t="n">
        <v>108</v>
      </c>
      <c r="F19" s="8" t="n">
        <v>963</v>
      </c>
      <c r="G19" s="9" t="s">
        <v>38</v>
      </c>
    </row>
    <row r="20" customFormat="false" ht="14.25" hidden="false" customHeight="true" outlineLevel="0" collapsed="false">
      <c r="A20" s="6" t="s">
        <v>39</v>
      </c>
      <c r="B20" s="7" t="s">
        <v>11</v>
      </c>
      <c r="C20" s="8" t="n">
        <v>1547</v>
      </c>
      <c r="D20" s="8" t="n">
        <v>1618</v>
      </c>
      <c r="E20" s="8" t="n">
        <v>1399</v>
      </c>
      <c r="F20" s="8" t="n">
        <v>963</v>
      </c>
      <c r="G20" s="9" t="s">
        <v>40</v>
      </c>
    </row>
    <row r="21" customFormat="false" ht="4.5" hidden="false" customHeight="true" outlineLevel="0" collapsed="false">
      <c r="A21" s="11"/>
      <c r="B21" s="11"/>
      <c r="C21" s="11"/>
      <c r="D21" s="11"/>
      <c r="E21" s="11"/>
      <c r="F21" s="11"/>
      <c r="G21" s="11"/>
    </row>
    <row r="22" customFormat="false" ht="14.25" hidden="false" customHeight="true" outlineLevel="0" collapsed="false">
      <c r="A22" s="12" t="s">
        <v>41</v>
      </c>
      <c r="B22" s="12"/>
      <c r="C22" s="12"/>
      <c r="D22" s="12"/>
      <c r="E22" s="12"/>
      <c r="F22" s="12"/>
      <c r="G22" s="12"/>
    </row>
    <row r="23" customFormat="false" ht="14.25" hidden="false" customHeight="true" outlineLevel="0" collapsed="false">
      <c r="A23" s="13" t="s">
        <v>42</v>
      </c>
      <c r="B23" s="7" t="s">
        <v>43</v>
      </c>
      <c r="C23" s="14" t="n">
        <f aca="false">(C8/C6)</f>
        <v>0.262469391444395</v>
      </c>
      <c r="D23" s="14" t="n">
        <f aca="false">(D8/D6)</f>
        <v>0.267147789840421</v>
      </c>
      <c r="E23" s="14" t="n">
        <f aca="false">(E8/E6)</f>
        <v>0.273136833426578</v>
      </c>
      <c r="F23" s="14" t="n">
        <f aca="false">(F8/F6)</f>
        <v>0.272377202252559</v>
      </c>
      <c r="G23" s="9" t="s">
        <v>44</v>
      </c>
    </row>
    <row r="24" customFormat="false" ht="14.25" hidden="false" customHeight="true" outlineLevel="0" collapsed="false">
      <c r="A24" s="13" t="s">
        <v>45</v>
      </c>
      <c r="B24" s="7" t="s">
        <v>43</v>
      </c>
      <c r="C24" s="14" t="n">
        <f aca="false">C13/C6</f>
        <v>0.22312609903203</v>
      </c>
      <c r="D24" s="14" t="n">
        <f aca="false">D13/D6</f>
        <v>0.224811024356861</v>
      </c>
      <c r="E24" s="14" t="n">
        <f aca="false">E13/E6</f>
        <v>0.228865463325579</v>
      </c>
      <c r="F24" s="14" t="n">
        <f aca="false">F13/F6</f>
        <v>0.236460761179553</v>
      </c>
      <c r="G24" s="9" t="s">
        <v>46</v>
      </c>
    </row>
    <row r="25" customFormat="false" ht="14.25" hidden="false" customHeight="true" outlineLevel="0" collapsed="false">
      <c r="A25" s="13" t="s">
        <v>47</v>
      </c>
      <c r="B25" s="7" t="s">
        <v>43</v>
      </c>
      <c r="C25" s="14" t="n">
        <f aca="false">C14/C6</f>
        <v>0.0442242271853276</v>
      </c>
      <c r="D25" s="14" t="n">
        <f aca="false">D14/D6</f>
        <v>0.0466450990761191</v>
      </c>
      <c r="E25" s="14" t="n">
        <f aca="false">E14/E6</f>
        <v>0.0237919967020995</v>
      </c>
      <c r="F25" s="14" t="n">
        <f aca="false">F14/F6</f>
        <v>0.0316313678937997</v>
      </c>
      <c r="G25" s="9" t="s">
        <v>44</v>
      </c>
    </row>
    <row r="26" customFormat="false" ht="14.25" hidden="false" customHeight="true" outlineLevel="0" collapsed="false">
      <c r="A26" s="13" t="s">
        <v>48</v>
      </c>
      <c r="B26" s="7" t="s">
        <v>43</v>
      </c>
      <c r="C26" s="14" t="n">
        <f aca="false">C15/C6</f>
        <v>0.0442242271853276</v>
      </c>
      <c r="D26" s="14" t="n">
        <f aca="false">D15/D6</f>
        <v>0.0466450990761191</v>
      </c>
      <c r="E26" s="14" t="n">
        <f aca="false">E15/E6</f>
        <v>0.048835428874297</v>
      </c>
      <c r="F26" s="14" t="n">
        <f aca="false">F15/F6</f>
        <v>0.0398685524849081</v>
      </c>
      <c r="G26" s="9" t="s">
        <v>49</v>
      </c>
    </row>
    <row r="27" customFormat="false" ht="14.25" hidden="false" customHeight="true" outlineLevel="0" collapsed="false">
      <c r="A27" s="13" t="s">
        <v>50</v>
      </c>
      <c r="B27" s="7" t="s">
        <v>43</v>
      </c>
      <c r="C27" s="14" t="n">
        <f aca="false">C19/C6</f>
        <v>0.0254235895413236</v>
      </c>
      <c r="D27" s="14" t="n">
        <f aca="false">D19/D6</f>
        <v>0.0251656453168258</v>
      </c>
      <c r="E27" s="14" t="n">
        <f aca="false">E19/E6</f>
        <v>0.00159005918553635</v>
      </c>
      <c r="F27" s="14" t="n">
        <f aca="false">F19/F6</f>
        <v>0.0139409644309973</v>
      </c>
      <c r="G27" s="9" t="s">
        <v>44</v>
      </c>
    </row>
    <row r="28" customFormat="false" ht="4.5" hidden="false" customHeight="true" outlineLevel="0" collapsed="false">
      <c r="A28" s="11"/>
      <c r="B28" s="11"/>
      <c r="C28" s="11"/>
      <c r="D28" s="11"/>
      <c r="E28" s="11"/>
      <c r="F28" s="11"/>
      <c r="G28" s="11"/>
    </row>
    <row r="29" customFormat="false" ht="14.25" hidden="false" customHeight="true" outlineLevel="0" collapsed="false">
      <c r="A29" s="12" t="s">
        <v>51</v>
      </c>
      <c r="B29" s="12"/>
      <c r="C29" s="12"/>
      <c r="D29" s="12"/>
      <c r="E29" s="12"/>
      <c r="F29" s="12"/>
      <c r="G29" s="12"/>
    </row>
    <row r="30" customFormat="false" ht="14.25" hidden="false" customHeight="true" outlineLevel="0" collapsed="false">
      <c r="A30" s="6" t="s">
        <v>52</v>
      </c>
      <c r="B30" s="7" t="s">
        <v>11</v>
      </c>
      <c r="C30" s="8" t="n">
        <v>6110</v>
      </c>
      <c r="D30" s="8" t="n">
        <v>6375</v>
      </c>
      <c r="E30" s="8" t="n">
        <v>6991</v>
      </c>
      <c r="F30" s="8" t="n">
        <v>6991</v>
      </c>
      <c r="G30" s="9" t="s">
        <v>12</v>
      </c>
      <c r="H30" s="15"/>
      <c r="I30" s="16"/>
      <c r="J30" s="16"/>
    </row>
    <row r="31" customFormat="false" ht="14.25" hidden="false" customHeight="true" outlineLevel="0" collapsed="false">
      <c r="A31" s="6" t="s">
        <v>53</v>
      </c>
      <c r="B31" s="7" t="s">
        <v>11</v>
      </c>
      <c r="C31" s="8" t="n">
        <v>27163</v>
      </c>
      <c r="D31" s="8" t="n">
        <v>27273</v>
      </c>
      <c r="E31" s="8" t="n">
        <v>26945</v>
      </c>
      <c r="F31" s="8" t="n">
        <v>26838</v>
      </c>
      <c r="G31" s="9" t="s">
        <v>12</v>
      </c>
    </row>
    <row r="32" customFormat="false" ht="14.25" hidden="false" customHeight="true" outlineLevel="0" collapsed="false">
      <c r="A32" s="6" t="s">
        <v>54</v>
      </c>
      <c r="B32" s="7" t="s">
        <v>11</v>
      </c>
      <c r="C32" s="10" t="n">
        <f aca="false">SUM(C30:C31)</f>
        <v>33273</v>
      </c>
      <c r="D32" s="10" t="n">
        <f aca="false">SUM(D30:D31)</f>
        <v>33648</v>
      </c>
      <c r="E32" s="10" t="n">
        <f aca="false">SUM(E30:E31)</f>
        <v>33936</v>
      </c>
      <c r="F32" s="10" t="n">
        <f aca="false">SUM(F30:F31)</f>
        <v>33829</v>
      </c>
      <c r="G32" s="9" t="s">
        <v>44</v>
      </c>
    </row>
    <row r="33" customFormat="false" ht="14.25" hidden="false" customHeight="true" outlineLevel="0" collapsed="false">
      <c r="A33" s="6" t="s">
        <v>55</v>
      </c>
      <c r="B33" s="7" t="s">
        <v>11</v>
      </c>
      <c r="C33" s="8" t="n">
        <v>10750</v>
      </c>
      <c r="D33" s="8" t="n">
        <v>11886</v>
      </c>
      <c r="E33" s="8" t="n">
        <v>12819</v>
      </c>
      <c r="F33" s="8" t="n">
        <v>12297</v>
      </c>
      <c r="G33" s="9" t="s">
        <v>12</v>
      </c>
    </row>
    <row r="34" customFormat="false" ht="14.25" hidden="false" customHeight="true" outlineLevel="0" collapsed="false">
      <c r="A34" s="6" t="s">
        <v>56</v>
      </c>
      <c r="B34" s="7" t="s">
        <v>11</v>
      </c>
      <c r="C34" s="8" t="n">
        <v>16419</v>
      </c>
      <c r="D34" s="8" t="n">
        <v>15197</v>
      </c>
      <c r="E34" s="8" t="n">
        <v>15547</v>
      </c>
      <c r="F34" s="8" t="n">
        <v>16570</v>
      </c>
      <c r="G34" s="9" t="s">
        <v>12</v>
      </c>
    </row>
    <row r="35" customFormat="false" ht="14.25" hidden="false" customHeight="true" outlineLevel="0" collapsed="false">
      <c r="A35" s="6" t="s">
        <v>57</v>
      </c>
      <c r="B35" s="7" t="s">
        <v>11</v>
      </c>
      <c r="C35" s="10" t="n">
        <f aca="false">SUM(C33:C34)</f>
        <v>27169</v>
      </c>
      <c r="D35" s="10" t="n">
        <f aca="false">SUM(D33:D34)</f>
        <v>27083</v>
      </c>
      <c r="E35" s="10" t="n">
        <f aca="false">SUM(E33:E34)</f>
        <v>28366</v>
      </c>
      <c r="F35" s="10" t="n">
        <f aca="false">SUM(F33:F34)</f>
        <v>28867</v>
      </c>
      <c r="G35" s="9" t="s">
        <v>44</v>
      </c>
    </row>
    <row r="36" customFormat="false" ht="14.25" hidden="false" customHeight="true" outlineLevel="0" collapsed="false">
      <c r="A36" s="6" t="s">
        <v>58</v>
      </c>
      <c r="B36" s="7" t="s">
        <v>11</v>
      </c>
      <c r="C36" s="8" t="n">
        <v>6104</v>
      </c>
      <c r="D36" s="8" t="n">
        <v>6565</v>
      </c>
      <c r="E36" s="8" t="n">
        <v>5570</v>
      </c>
      <c r="F36" s="8" t="n">
        <v>4962</v>
      </c>
      <c r="G36" s="9" t="s">
        <v>12</v>
      </c>
    </row>
    <row r="37" customFormat="false" ht="4.5" hidden="false" customHeight="true" outlineLevel="0" collapsed="false">
      <c r="A37" s="11"/>
      <c r="B37" s="11"/>
      <c r="C37" s="11"/>
      <c r="D37" s="11"/>
      <c r="E37" s="11"/>
      <c r="F37" s="11"/>
      <c r="G37" s="11"/>
    </row>
    <row r="38" customFormat="false" ht="14.25" hidden="false" customHeight="true" outlineLevel="0" collapsed="false">
      <c r="A38" s="12" t="s">
        <v>59</v>
      </c>
      <c r="B38" s="12"/>
      <c r="C38" s="12"/>
      <c r="D38" s="12"/>
      <c r="E38" s="12"/>
      <c r="F38" s="12"/>
      <c r="G38" s="12"/>
    </row>
    <row r="39" customFormat="false" ht="14.25" hidden="false" customHeight="true" outlineLevel="0" collapsed="false">
      <c r="A39" s="6" t="s">
        <v>60</v>
      </c>
      <c r="B39" s="7" t="s">
        <v>11</v>
      </c>
      <c r="C39" s="8" t="n">
        <v>3378</v>
      </c>
      <c r="D39" s="8" t="n">
        <v>4754</v>
      </c>
      <c r="E39" s="8" t="n">
        <v>4359</v>
      </c>
      <c r="F39" s="8" t="n">
        <v>4550</v>
      </c>
      <c r="G39" s="9" t="s">
        <v>12</v>
      </c>
    </row>
    <row r="40" customFormat="false" ht="14.25" hidden="false" customHeight="true" outlineLevel="0" collapsed="false">
      <c r="A40" s="6" t="s">
        <v>61</v>
      </c>
      <c r="B40" s="7" t="s">
        <v>11</v>
      </c>
      <c r="C40" s="8" t="n">
        <v>-2457</v>
      </c>
      <c r="D40" s="8" t="n">
        <v>-1844</v>
      </c>
      <c r="E40" s="8" t="n">
        <v>-2277</v>
      </c>
      <c r="F40" s="8" t="n">
        <v>-1926</v>
      </c>
      <c r="G40" s="9" t="s">
        <v>12</v>
      </c>
    </row>
    <row r="41" customFormat="false" ht="14.25" hidden="false" customHeight="true" outlineLevel="0" collapsed="false">
      <c r="A41" s="6" t="s">
        <v>62</v>
      </c>
      <c r="B41" s="7" t="s">
        <v>11</v>
      </c>
      <c r="C41" s="8" t="n">
        <v>-1337</v>
      </c>
      <c r="D41" s="8" t="n">
        <v>-2809</v>
      </c>
      <c r="E41" s="8" t="n">
        <v>-1919</v>
      </c>
      <c r="F41" s="8" t="n">
        <v>-2649</v>
      </c>
      <c r="G41" s="9" t="s">
        <v>12</v>
      </c>
    </row>
    <row r="42" customFormat="false" ht="14.25" hidden="false" customHeight="true" outlineLevel="0" collapsed="false">
      <c r="A42" s="6" t="s">
        <v>63</v>
      </c>
      <c r="B42" s="7" t="s">
        <v>11</v>
      </c>
      <c r="C42" s="17" t="n">
        <f aca="false">SUM(C39:C41)</f>
        <v>-416</v>
      </c>
      <c r="D42" s="17" t="n">
        <f aca="false">SUM(D39:D41)</f>
        <v>101</v>
      </c>
      <c r="E42" s="17" t="n">
        <f aca="false">SUM(E39:E41)</f>
        <v>163</v>
      </c>
      <c r="F42" s="17" t="n">
        <f aca="false">SUM(F39:F41)</f>
        <v>-25</v>
      </c>
      <c r="G42" s="9" t="s">
        <v>44</v>
      </c>
      <c r="J42" s="18"/>
    </row>
    <row r="43" customFormat="false" ht="14.25" hidden="false" customHeight="true" outlineLevel="0" collapsed="false">
      <c r="A43" s="6" t="s">
        <v>64</v>
      </c>
      <c r="B43" s="7" t="s">
        <v>11</v>
      </c>
      <c r="C43" s="17" t="n">
        <f aca="false">C39+C40</f>
        <v>921</v>
      </c>
      <c r="D43" s="17" t="n">
        <f aca="false">D39+D40</f>
        <v>2910</v>
      </c>
      <c r="E43" s="17" t="n">
        <f aca="false">E39+E40</f>
        <v>2082</v>
      </c>
      <c r="F43" s="17" t="n">
        <f aca="false">F39+F40</f>
        <v>2624</v>
      </c>
      <c r="G43" s="9" t="s">
        <v>65</v>
      </c>
      <c r="J43" s="19"/>
    </row>
    <row r="44" customFormat="false" ht="14.25" hidden="false" customHeight="true" outlineLevel="0" collapsed="false">
      <c r="A44" s="20"/>
      <c r="B44" s="20"/>
      <c r="C44" s="20"/>
      <c r="D44" s="20"/>
      <c r="E44" s="20"/>
      <c r="F44" s="20"/>
      <c r="G44" s="20"/>
      <c r="J44" s="21"/>
    </row>
    <row r="45" customFormat="false" ht="4.5" hidden="false" customHeight="true" outlineLevel="0" collapsed="false">
      <c r="A45" s="20"/>
      <c r="B45" s="20"/>
      <c r="C45" s="20"/>
      <c r="D45" s="20"/>
      <c r="E45" s="20"/>
      <c r="F45" s="20"/>
      <c r="G45" s="20"/>
    </row>
    <row r="46" customFormat="false" ht="14.25" hidden="false" customHeight="true" outlineLevel="0" collapsed="false">
      <c r="A46" s="22" t="s">
        <v>66</v>
      </c>
      <c r="B46" s="22"/>
      <c r="C46" s="22"/>
      <c r="D46" s="22"/>
      <c r="E46" s="22"/>
      <c r="F46" s="22"/>
      <c r="G46" s="22"/>
    </row>
    <row r="47" customFormat="false" ht="14.25" hidden="false" customHeight="true" outlineLevel="0" collapsed="false">
      <c r="A47" s="20"/>
      <c r="B47" s="23"/>
      <c r="C47" s="24" t="s">
        <v>67</v>
      </c>
      <c r="D47" s="24"/>
      <c r="E47" s="24"/>
      <c r="F47" s="24"/>
      <c r="G47" s="24"/>
    </row>
    <row r="48" customFormat="false" ht="14.25" hidden="false" customHeight="true" outlineLevel="0" collapsed="false">
      <c r="A48" s="20"/>
      <c r="B48" s="25"/>
      <c r="C48" s="24" t="s">
        <v>68</v>
      </c>
      <c r="D48" s="24"/>
      <c r="E48" s="24"/>
      <c r="F48" s="24"/>
      <c r="G48" s="24"/>
    </row>
    <row r="49" customFormat="false" ht="14.25" hidden="false" customHeight="true" outlineLevel="0" collapsed="false">
      <c r="A49" s="20"/>
      <c r="B49" s="25"/>
      <c r="C49" s="24" t="s">
        <v>69</v>
      </c>
      <c r="D49" s="24"/>
      <c r="E49" s="24"/>
      <c r="F49" s="24"/>
      <c r="G49" s="24"/>
    </row>
    <row r="50" customFormat="false" ht="14.25" hidden="false" customHeight="true" outlineLevel="0" collapsed="false">
      <c r="A50" s="20"/>
      <c r="B50" s="25"/>
      <c r="C50" s="24" t="s">
        <v>70</v>
      </c>
      <c r="D50" s="24"/>
      <c r="E50" s="24"/>
      <c r="F50" s="24"/>
      <c r="G50" s="24"/>
    </row>
    <row r="51" customFormat="false" ht="14.25" hidden="false" customHeight="true" outlineLevel="0" collapsed="false">
      <c r="A51" s="20"/>
      <c r="B51" s="25"/>
      <c r="C51" s="24" t="s">
        <v>71</v>
      </c>
      <c r="D51" s="24"/>
      <c r="E51" s="24"/>
      <c r="F51" s="24"/>
      <c r="G51" s="24"/>
    </row>
    <row r="52" customFormat="false" ht="14.25" hidden="false" customHeight="true" outlineLevel="0" collapsed="false">
      <c r="A52" s="20"/>
      <c r="B52" s="25"/>
      <c r="C52" s="24" t="s">
        <v>72</v>
      </c>
      <c r="D52" s="24"/>
      <c r="E52" s="24"/>
      <c r="F52" s="24"/>
      <c r="G52" s="24"/>
    </row>
    <row r="53" customFormat="false" ht="14.25" hidden="false" customHeight="true" outlineLevel="0" collapsed="false">
      <c r="A53" s="20"/>
      <c r="B53" s="25"/>
      <c r="C53" s="24" t="s">
        <v>73</v>
      </c>
      <c r="D53" s="24"/>
      <c r="E53" s="24"/>
      <c r="F53" s="24"/>
      <c r="G53" s="24"/>
    </row>
    <row r="54" customFormat="false" ht="14.25" hidden="false" customHeight="true" outlineLevel="0" collapsed="false">
      <c r="H54" s="26"/>
    </row>
  </sheetData>
  <mergeCells count="10">
    <mergeCell ref="A1:H1"/>
    <mergeCell ref="A2:H2"/>
    <mergeCell ref="A46:G46"/>
    <mergeCell ref="C47:G47"/>
    <mergeCell ref="C48:G48"/>
    <mergeCell ref="C49:G49"/>
    <mergeCell ref="C50:G50"/>
    <mergeCell ref="C51:G51"/>
    <mergeCell ref="C52:G52"/>
    <mergeCell ref="C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3.88"/>
    <col collapsed="false" customWidth="true" hidden="false" outlineLevel="0" max="3" min="3" style="0" width="45.56"/>
    <col collapsed="false" customWidth="true" hidden="false" outlineLevel="0" max="5" min="4" style="0" width="20.22"/>
  </cols>
  <sheetData>
    <row r="1" customFormat="false" ht="24.75" hidden="false" customHeight="true" outlineLevel="0" collapsed="false">
      <c r="A1" s="27" t="s">
        <v>74</v>
      </c>
      <c r="B1" s="28" t="s">
        <v>75</v>
      </c>
      <c r="C1" s="28" t="s">
        <v>76</v>
      </c>
      <c r="D1" s="28" t="s">
        <v>77</v>
      </c>
      <c r="E1" s="28" t="s">
        <v>78</v>
      </c>
    </row>
    <row r="2" customFormat="false" ht="14.25" hidden="false" customHeight="true" outlineLevel="0" collapsed="false">
      <c r="A2" s="29" t="s">
        <v>79</v>
      </c>
      <c r="B2" s="20"/>
      <c r="D2" s="20"/>
      <c r="E2" s="20"/>
    </row>
    <row r="3" customFormat="false" ht="14.25" hidden="false" customHeight="true" outlineLevel="0" collapsed="false">
      <c r="A3" s="30" t="s">
        <v>80</v>
      </c>
      <c r="B3" s="31" t="n">
        <f aca="false">('P&amp;L Model'!E2/'P&amp;L Model'!B2)^(1/3)-1</f>
        <v>0.0431818145433092</v>
      </c>
      <c r="C3" s="32" t="s">
        <v>81</v>
      </c>
      <c r="D3" s="31" t="n">
        <f aca="false">B3-1.5%</f>
        <v>0.0281818145433092</v>
      </c>
      <c r="E3" s="31" t="n">
        <f aca="false">B3+1.5%</f>
        <v>0.0581818145433092</v>
      </c>
    </row>
    <row r="4" customFormat="false" ht="14.25" hidden="false" customHeight="true" outlineLevel="0" collapsed="false">
      <c r="A4" s="29" t="s">
        <v>82</v>
      </c>
      <c r="B4" s="30"/>
      <c r="C4" s="33"/>
      <c r="D4" s="30"/>
      <c r="E4" s="30"/>
    </row>
    <row r="5" customFormat="false" ht="14.25" hidden="false" customHeight="true" outlineLevel="0" collapsed="false">
      <c r="A5" s="30" t="s">
        <v>42</v>
      </c>
      <c r="B5" s="31" t="n">
        <f aca="false">AVERAGE('P&amp;L Model'!B6:E6)</f>
        <v>0.268782804240988</v>
      </c>
      <c r="C5" s="33" t="s">
        <v>83</v>
      </c>
      <c r="D5" s="31" t="n">
        <f aca="false">B5-0.33%</f>
        <v>0.265482804240988</v>
      </c>
      <c r="E5" s="31" t="n">
        <f aca="false">B5+0.33%</f>
        <v>0.272082804240988</v>
      </c>
    </row>
    <row r="6" customFormat="false" ht="14.25" hidden="false" customHeight="true" outlineLevel="0" collapsed="false">
      <c r="A6" s="29" t="s">
        <v>84</v>
      </c>
      <c r="B6" s="30"/>
      <c r="C6" s="33"/>
      <c r="D6" s="30"/>
      <c r="E6" s="30"/>
    </row>
    <row r="7" customFormat="false" ht="14.25" hidden="false" customHeight="true" outlineLevel="0" collapsed="false">
      <c r="A7" s="30" t="s">
        <v>45</v>
      </c>
      <c r="B7" s="31" t="n">
        <f aca="false">AVERAGE('P&amp;L Model'!B11:E11)</f>
        <v>0.228315836973506</v>
      </c>
      <c r="C7" s="33" t="s">
        <v>83</v>
      </c>
      <c r="D7" s="31" t="n">
        <f aca="false">B7-0.44%</f>
        <v>0.223915836973506</v>
      </c>
      <c r="E7" s="31" t="n">
        <f aca="false">B7+0.44%</f>
        <v>0.232715836973506</v>
      </c>
    </row>
    <row r="8" customFormat="false" ht="14.25" hidden="false" customHeight="true" outlineLevel="0" collapsed="false">
      <c r="A8" s="29" t="s">
        <v>85</v>
      </c>
      <c r="B8" s="30"/>
      <c r="C8" s="34"/>
      <c r="D8" s="30"/>
      <c r="E8" s="30"/>
    </row>
    <row r="9" customFormat="false" ht="14.25" hidden="false" customHeight="true" outlineLevel="0" collapsed="false">
      <c r="A9" s="30" t="s">
        <v>86</v>
      </c>
      <c r="B9" s="35" t="n">
        <v>880</v>
      </c>
      <c r="C9" s="33" t="s">
        <v>87</v>
      </c>
      <c r="D9" s="36" t="n">
        <f aca="false">B9-10</f>
        <v>870</v>
      </c>
      <c r="E9" s="36" t="n">
        <f aca="false">B9+10</f>
        <v>890</v>
      </c>
    </row>
    <row r="10" customFormat="false" ht="14.25" hidden="false" customHeight="true" outlineLevel="0" collapsed="false">
      <c r="A10" s="30" t="s">
        <v>88</v>
      </c>
      <c r="B10" s="31" t="n">
        <v>0.29</v>
      </c>
      <c r="C10" s="34" t="s">
        <v>89</v>
      </c>
      <c r="D10" s="31" t="n">
        <f aca="false">B10-1%</f>
        <v>0.28</v>
      </c>
      <c r="E10" s="37" t="n">
        <f aca="false">B10+1%</f>
        <v>0.3</v>
      </c>
    </row>
    <row r="11" customFormat="false" ht="14.25" hidden="false" customHeight="true" outlineLevel="0" collapsed="false">
      <c r="A11" s="29" t="s">
        <v>90</v>
      </c>
      <c r="B11" s="38"/>
      <c r="C11" s="38"/>
      <c r="D11" s="38"/>
      <c r="E11" s="38"/>
    </row>
    <row r="12" customFormat="false" ht="14.25" hidden="false" customHeight="true" outlineLevel="0" collapsed="false">
      <c r="A12" s="30" t="s">
        <v>91</v>
      </c>
      <c r="B12" s="31" t="n">
        <v>0.045</v>
      </c>
      <c r="C12" s="32" t="s">
        <v>81</v>
      </c>
      <c r="D12" s="31" t="n">
        <f aca="false">B12-1%</f>
        <v>0.035</v>
      </c>
      <c r="E12" s="37" t="n">
        <f aca="false">B12+1%</f>
        <v>0.055</v>
      </c>
    </row>
    <row r="13" customFormat="false" ht="14.25" hidden="false" customHeight="true" outlineLevel="0" collapsed="false">
      <c r="A13" s="30" t="s">
        <v>92</v>
      </c>
      <c r="B13" s="31" t="n">
        <v>0.005</v>
      </c>
      <c r="C13" s="32" t="s">
        <v>81</v>
      </c>
      <c r="D13" s="31" t="n">
        <f aca="false">B13-0.25%</f>
        <v>0.0025</v>
      </c>
      <c r="E13" s="37" t="n">
        <f aca="false">B13+0.25%</f>
        <v>0.0075</v>
      </c>
    </row>
    <row r="14" customFormat="false" ht="14.25" hidden="false" customHeight="true" outlineLevel="0" collapsed="false">
      <c r="A14" s="30" t="s">
        <v>93</v>
      </c>
      <c r="B14" s="31" t="n">
        <v>0.045</v>
      </c>
      <c r="C14" s="32" t="s">
        <v>81</v>
      </c>
      <c r="D14" s="31" t="n">
        <f aca="false">B14-1%</f>
        <v>0.035</v>
      </c>
      <c r="E14" s="37" t="n">
        <f aca="false">B14+1%</f>
        <v>0.055</v>
      </c>
    </row>
    <row r="15" customFormat="false" ht="14.25" hidden="false" customHeight="true" outlineLevel="0" collapsed="false">
      <c r="A15" s="30" t="s">
        <v>94</v>
      </c>
      <c r="B15" s="31" t="n">
        <v>0.003</v>
      </c>
      <c r="C15" s="32" t="s">
        <v>81</v>
      </c>
      <c r="D15" s="31" t="n">
        <f aca="false">B15-0.25%</f>
        <v>0.0005</v>
      </c>
      <c r="E15" s="37" t="n">
        <f aca="false">B15+0.25%</f>
        <v>0.0055</v>
      </c>
    </row>
    <row r="16" customFormat="false" ht="14.25" hidden="false" customHeight="true" outlineLevel="0" collapsed="false">
      <c r="A16" s="29" t="s">
        <v>95</v>
      </c>
      <c r="B16" s="39"/>
      <c r="C16" s="34"/>
      <c r="D16" s="30"/>
      <c r="E16" s="30"/>
    </row>
    <row r="17" customFormat="false" ht="14.25" hidden="false" customHeight="true" outlineLevel="0" collapsed="false">
      <c r="A17" s="30" t="s">
        <v>96</v>
      </c>
      <c r="B17" s="31" t="n">
        <v>1.45</v>
      </c>
      <c r="C17" s="34" t="s">
        <v>97</v>
      </c>
      <c r="D17" s="31" t="n">
        <v>1.25</v>
      </c>
      <c r="E17" s="37" t="n">
        <v>1.65</v>
      </c>
    </row>
    <row r="18" customFormat="false" ht="14.25" hidden="false" customHeight="true" outlineLevel="0" collapsed="false">
      <c r="A18" s="30" t="s">
        <v>98</v>
      </c>
      <c r="B18" s="36" t="n">
        <v>-2100</v>
      </c>
      <c r="C18" s="34" t="s">
        <v>99</v>
      </c>
      <c r="D18" s="40" t="n">
        <v>-2500</v>
      </c>
      <c r="E18" s="40" t="n">
        <v>-1800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41" width="13"/>
    <col collapsed="false" customWidth="true" hidden="false" outlineLevel="0" max="7" min="7" style="0" width="13"/>
  </cols>
  <sheetData>
    <row r="1" customFormat="false" ht="24.75" hidden="false" customHeight="true" outlineLevel="0" collapsed="false">
      <c r="A1" s="42" t="s">
        <v>2</v>
      </c>
      <c r="B1" s="28" t="s">
        <v>4</v>
      </c>
      <c r="C1" s="28" t="s">
        <v>5</v>
      </c>
      <c r="D1" s="28" t="s">
        <v>6</v>
      </c>
      <c r="E1" s="28" t="s">
        <v>7</v>
      </c>
      <c r="F1" s="28" t="s">
        <v>100</v>
      </c>
      <c r="G1" s="43" t="s">
        <v>101</v>
      </c>
      <c r="H1" s="44"/>
      <c r="I1" s="44"/>
      <c r="J1" s="44"/>
    </row>
    <row r="2" customFormat="false" ht="14.25" hidden="false" customHeight="true" outlineLevel="0" collapsed="false">
      <c r="A2" s="45" t="s">
        <v>10</v>
      </c>
      <c r="B2" s="46" t="n">
        <f aca="false">'Source Data'!C6</f>
        <v>60849</v>
      </c>
      <c r="C2" s="46" t="n">
        <f aca="false">'Source Data'!D6</f>
        <v>64294</v>
      </c>
      <c r="D2" s="46" t="n">
        <f aca="false">'Source Data'!E6</f>
        <v>67922</v>
      </c>
      <c r="E2" s="46" t="n">
        <f aca="false">'Source Data'!F6</f>
        <v>69077</v>
      </c>
      <c r="F2" s="47" t="n">
        <f aca="false">E2*(1+Assumptions!B3)</f>
        <v>72059.8702032082</v>
      </c>
      <c r="G2" s="48"/>
      <c r="H2" s="49"/>
      <c r="I2" s="49"/>
      <c r="J2" s="49"/>
    </row>
    <row r="3" customFormat="false" ht="14.25" hidden="false" customHeight="true" outlineLevel="0" collapsed="false">
      <c r="A3" s="45" t="s">
        <v>102</v>
      </c>
      <c r="B3" s="50" t="n">
        <f aca="false">'Source Data'!C7</f>
        <v>44878</v>
      </c>
      <c r="C3" s="50" t="n">
        <f aca="false">'Source Data'!D7</f>
        <v>47118</v>
      </c>
      <c r="D3" s="50" t="n">
        <f aca="false">'Source Data'!E7</f>
        <v>49370</v>
      </c>
      <c r="E3" s="50" t="n">
        <f aca="false">'Source Data'!F7</f>
        <v>50262</v>
      </c>
      <c r="F3" s="47" t="n">
        <f aca="false">F2*(1-Assumptions!B5)</f>
        <v>52691.4162167483</v>
      </c>
      <c r="G3" s="20"/>
    </row>
    <row r="4" customFormat="false" ht="14.25" hidden="false" customHeight="true" outlineLevel="0" collapsed="false">
      <c r="A4" s="45"/>
      <c r="B4" s="50"/>
      <c r="C4" s="50"/>
      <c r="D4" s="50"/>
      <c r="E4" s="50"/>
      <c r="F4" s="51"/>
      <c r="G4" s="20"/>
      <c r="H4" s="52"/>
      <c r="I4" s="52"/>
      <c r="J4" s="52"/>
    </row>
    <row r="5" customFormat="false" ht="14.25" hidden="false" customHeight="true" outlineLevel="0" collapsed="false">
      <c r="A5" s="29" t="s">
        <v>103</v>
      </c>
      <c r="B5" s="50" t="n">
        <f aca="false">'Source Data'!C8</f>
        <v>15971</v>
      </c>
      <c r="C5" s="50" t="n">
        <f aca="false">'Source Data'!D8</f>
        <v>17176</v>
      </c>
      <c r="D5" s="50" t="n">
        <f aca="false">'Source Data'!E8</f>
        <v>18552</v>
      </c>
      <c r="E5" s="50" t="n">
        <f aca="false">'Source Data'!F8</f>
        <v>18815</v>
      </c>
      <c r="F5" s="53" t="n">
        <f aca="false">F2-F3</f>
        <v>19368.4539864599</v>
      </c>
      <c r="G5" s="20"/>
    </row>
    <row r="6" customFormat="false" ht="14.25" hidden="false" customHeight="true" outlineLevel="0" collapsed="false">
      <c r="A6" s="54" t="s">
        <v>42</v>
      </c>
      <c r="B6" s="55" t="n">
        <f aca="false">'Source Data'!C23</f>
        <v>0.262469391444395</v>
      </c>
      <c r="C6" s="55" t="n">
        <f aca="false">'Source Data'!D23</f>
        <v>0.267147789840421</v>
      </c>
      <c r="D6" s="55" t="n">
        <f aca="false">'Source Data'!E23</f>
        <v>0.273136833426578</v>
      </c>
      <c r="E6" s="55" t="n">
        <f aca="false">'Source Data'!F23</f>
        <v>0.272377202252559</v>
      </c>
      <c r="F6" s="56" t="n">
        <f aca="false">F5/F2</f>
        <v>0.268782804240988</v>
      </c>
      <c r="G6" s="20"/>
      <c r="H6" s="57"/>
    </row>
    <row r="7" customFormat="false" ht="14.25" hidden="false" customHeight="true" outlineLevel="0" collapsed="false">
      <c r="A7" s="20"/>
      <c r="B7" s="50"/>
      <c r="C7" s="50"/>
      <c r="D7" s="50"/>
      <c r="E7" s="50"/>
      <c r="F7" s="51"/>
      <c r="G7" s="20"/>
    </row>
    <row r="8" customFormat="false" ht="14.25" hidden="false" customHeight="true" outlineLevel="0" collapsed="false">
      <c r="A8" s="45" t="s">
        <v>104</v>
      </c>
      <c r="B8" s="50" t="n">
        <f aca="false">'Source Data'!C11</f>
        <v>13577</v>
      </c>
      <c r="C8" s="50" t="n">
        <f aca="false">'Source Data'!D11</f>
        <v>14454</v>
      </c>
      <c r="D8" s="50" t="n">
        <f aca="false">'Source Data'!E11</f>
        <v>17246</v>
      </c>
      <c r="E8" s="50" t="n">
        <f aca="false">'Source Data'!F11</f>
        <v>16903</v>
      </c>
      <c r="F8" s="53" t="n">
        <f aca="false">F10</f>
        <v>16452.4095776477</v>
      </c>
      <c r="G8" s="20"/>
    </row>
    <row r="9" customFormat="false" ht="14.25" hidden="false" customHeight="true" outlineLevel="0" collapsed="false">
      <c r="A9" s="58" t="s">
        <v>105</v>
      </c>
      <c r="B9" s="50" t="n">
        <f aca="false">'Source Data'!C12</f>
        <v>0</v>
      </c>
      <c r="C9" s="50" t="n">
        <f aca="false">'Source Data'!D12</f>
        <v>0</v>
      </c>
      <c r="D9" s="50" t="n">
        <f aca="false">'Source Data'!E12</f>
        <v>1701</v>
      </c>
      <c r="E9" s="50" t="n">
        <f aca="false">'Source Data'!F12</f>
        <v>569</v>
      </c>
      <c r="F9" s="51" t="n">
        <v>0</v>
      </c>
      <c r="G9" s="20"/>
    </row>
    <row r="10" customFormat="false" ht="14.25" hidden="false" customHeight="true" outlineLevel="0" collapsed="false">
      <c r="A10" s="58" t="s">
        <v>106</v>
      </c>
      <c r="B10" s="50" t="n">
        <f aca="false">'Source Data'!C13</f>
        <v>13577</v>
      </c>
      <c r="C10" s="50" t="n">
        <f aca="false">'Source Data'!D13</f>
        <v>14454</v>
      </c>
      <c r="D10" s="50" t="n">
        <f aca="false">'Source Data'!E13</f>
        <v>15545</v>
      </c>
      <c r="E10" s="50" t="n">
        <f aca="false">'Source Data'!F13</f>
        <v>16334</v>
      </c>
      <c r="F10" s="59" t="n">
        <f aca="false">F2*Assumptions!B7</f>
        <v>16452.4095776477</v>
      </c>
      <c r="G10" s="20"/>
    </row>
    <row r="11" customFormat="false" ht="14.25" hidden="false" customHeight="true" outlineLevel="0" collapsed="false">
      <c r="A11" s="54" t="s">
        <v>45</v>
      </c>
      <c r="B11" s="55" t="n">
        <f aca="false">'Source Data'!C24</f>
        <v>0.22312609903203</v>
      </c>
      <c r="C11" s="55" t="n">
        <f aca="false">'Source Data'!D24</f>
        <v>0.224811024356861</v>
      </c>
      <c r="D11" s="55" t="n">
        <f aca="false">'Source Data'!E24</f>
        <v>0.228865463325579</v>
      </c>
      <c r="E11" s="55" t="n">
        <f aca="false">'Source Data'!F24</f>
        <v>0.236460761179553</v>
      </c>
      <c r="F11" s="56" t="n">
        <f aca="false">F10/F2</f>
        <v>0.228315836973506</v>
      </c>
      <c r="G11" s="20"/>
      <c r="H11" s="57"/>
    </row>
    <row r="12" customFormat="false" ht="14.25" hidden="false" customHeight="true" outlineLevel="0" collapsed="false">
      <c r="A12" s="54"/>
      <c r="B12" s="55"/>
      <c r="C12" s="55"/>
      <c r="D12" s="55"/>
      <c r="E12" s="55"/>
      <c r="F12" s="51"/>
      <c r="G12" s="20"/>
    </row>
    <row r="13" customFormat="false" ht="14.25" hidden="false" customHeight="true" outlineLevel="0" collapsed="false">
      <c r="A13" s="29" t="s">
        <v>107</v>
      </c>
      <c r="B13" s="50" t="n">
        <f aca="false">'Source Data'!C14</f>
        <v>2691</v>
      </c>
      <c r="C13" s="50" t="n">
        <f aca="false">'Source Data'!D14</f>
        <v>2999</v>
      </c>
      <c r="D13" s="50" t="n">
        <f aca="false">'Source Data'!E14</f>
        <v>1616</v>
      </c>
      <c r="E13" s="50" t="n">
        <f aca="false">'Source Data'!F14</f>
        <v>2185</v>
      </c>
      <c r="F13" s="53" t="n">
        <f aca="false">F5-F10</f>
        <v>2916.04440881224</v>
      </c>
      <c r="G13" s="20"/>
    </row>
    <row r="14" customFormat="false" ht="14.25" hidden="false" customHeight="true" outlineLevel="0" collapsed="false">
      <c r="A14" s="58" t="s">
        <v>108</v>
      </c>
      <c r="B14" s="50" t="n">
        <f aca="false">'Source Data'!C15</f>
        <v>2691</v>
      </c>
      <c r="C14" s="50" t="n">
        <f aca="false">'Source Data'!D15</f>
        <v>2999</v>
      </c>
      <c r="D14" s="50" t="n">
        <f aca="false">'Source Data'!E15</f>
        <v>3317</v>
      </c>
      <c r="E14" s="50" t="n">
        <f aca="false">'Source Data'!F15</f>
        <v>2754</v>
      </c>
      <c r="F14" s="53" t="n">
        <f aca="false">F13</f>
        <v>2916.04440881224</v>
      </c>
      <c r="G14" s="20"/>
    </row>
    <row r="15" customFormat="false" ht="14.25" hidden="false" customHeight="true" outlineLevel="0" collapsed="false">
      <c r="A15" s="54" t="s">
        <v>109</v>
      </c>
      <c r="B15" s="55" t="n">
        <f aca="false">'Source Data'!C25</f>
        <v>0.0442242271853276</v>
      </c>
      <c r="C15" s="55" t="n">
        <f aca="false">'Source Data'!D25</f>
        <v>0.0466450990761191</v>
      </c>
      <c r="D15" s="55" t="n">
        <f aca="false">'Source Data'!E25</f>
        <v>0.0237919967020995</v>
      </c>
      <c r="E15" s="55" t="n">
        <f aca="false">'Source Data'!F25</f>
        <v>0.0316313678937997</v>
      </c>
      <c r="F15" s="56" t="n">
        <f aca="false">F13/F2</f>
        <v>0.0404669672674822</v>
      </c>
      <c r="G15" s="20"/>
    </row>
    <row r="16" customFormat="false" ht="14.25" hidden="false" customHeight="true" outlineLevel="0" collapsed="false">
      <c r="A16" s="54" t="s">
        <v>48</v>
      </c>
      <c r="B16" s="55" t="n">
        <f aca="false">'Source Data'!C26</f>
        <v>0.0442242271853276</v>
      </c>
      <c r="C16" s="55" t="n">
        <f aca="false">'Source Data'!D26</f>
        <v>0.0466450990761191</v>
      </c>
      <c r="D16" s="55" t="n">
        <f aca="false">'Source Data'!E26</f>
        <v>0.048835428874297</v>
      </c>
      <c r="E16" s="55" t="n">
        <f aca="false">'Source Data'!F26</f>
        <v>0.0398685524849081</v>
      </c>
      <c r="F16" s="56" t="n">
        <f aca="false">F14/F2</f>
        <v>0.0404669672674822</v>
      </c>
      <c r="G16" s="20"/>
    </row>
    <row r="17" customFormat="false" ht="14.25" hidden="false" customHeight="true" outlineLevel="0" collapsed="false">
      <c r="A17" s="20"/>
      <c r="B17" s="50"/>
      <c r="C17" s="50"/>
      <c r="D17" s="50"/>
      <c r="E17" s="50"/>
      <c r="F17" s="51"/>
      <c r="G17" s="20"/>
    </row>
    <row r="18" customFormat="false" ht="14.25" hidden="false" customHeight="true" outlineLevel="0" collapsed="false">
      <c r="A18" s="45" t="s">
        <v>31</v>
      </c>
      <c r="B18" s="50" t="n">
        <f aca="false">'Source Data'!C16</f>
        <v>600</v>
      </c>
      <c r="C18" s="50" t="n">
        <f aca="false">'Source Data'!D16</f>
        <v>677</v>
      </c>
      <c r="D18" s="50" t="n">
        <f aca="false">'Source Data'!E16</f>
        <v>740</v>
      </c>
      <c r="E18" s="50" t="n">
        <f aca="false">'Source Data'!F16</f>
        <v>811</v>
      </c>
      <c r="F18" s="60" t="n">
        <f aca="false">Assumptions!B9</f>
        <v>880</v>
      </c>
      <c r="G18" s="20"/>
      <c r="H18" s="15"/>
    </row>
    <row r="19" customFormat="false" ht="14.25" hidden="false" customHeight="true" outlineLevel="0" collapsed="false">
      <c r="A19" s="45"/>
      <c r="B19" s="50"/>
      <c r="C19" s="50"/>
      <c r="D19" s="50"/>
      <c r="E19" s="50"/>
      <c r="F19" s="51"/>
      <c r="G19" s="20"/>
    </row>
    <row r="20" customFormat="false" ht="14.25" hidden="false" customHeight="true" outlineLevel="0" collapsed="false">
      <c r="A20" s="29" t="s">
        <v>110</v>
      </c>
      <c r="B20" s="50" t="n">
        <f aca="false">'Source Data'!C17</f>
        <v>2091</v>
      </c>
      <c r="C20" s="50" t="n">
        <f aca="false">'Source Data'!D17</f>
        <v>2322</v>
      </c>
      <c r="D20" s="50" t="n">
        <f aca="false">'Source Data'!E17</f>
        <v>876</v>
      </c>
      <c r="E20" s="50" t="n">
        <f aca="false">'Source Data'!F17</f>
        <v>1374</v>
      </c>
      <c r="F20" s="53" t="n">
        <f aca="false">F13-Assumptions!B9</f>
        <v>2036.04440881224</v>
      </c>
      <c r="G20" s="20"/>
    </row>
    <row r="21" customFormat="false" ht="14.25" hidden="false" customHeight="true" outlineLevel="0" collapsed="false">
      <c r="A21" s="45" t="s">
        <v>35</v>
      </c>
      <c r="B21" s="50" t="n">
        <f aca="false">'Source Data'!C18</f>
        <v>534</v>
      </c>
      <c r="C21" s="50" t="n">
        <f aca="false">'Source Data'!D18</f>
        <v>693</v>
      </c>
      <c r="D21" s="50" t="n">
        <f aca="false">'Source Data'!E18</f>
        <v>759</v>
      </c>
      <c r="E21" s="50" t="n">
        <f aca="false">'Source Data'!F18</f>
        <v>421</v>
      </c>
      <c r="F21" s="53" t="n">
        <f aca="false">F20*Assumptions!B10</f>
        <v>590.45287855555</v>
      </c>
      <c r="G21" s="20"/>
    </row>
    <row r="22" customFormat="false" ht="14.25" hidden="false" customHeight="true" outlineLevel="0" collapsed="false">
      <c r="A22" s="45"/>
      <c r="B22" s="50"/>
      <c r="C22" s="50"/>
      <c r="D22" s="50"/>
      <c r="E22" s="50"/>
      <c r="F22" s="51"/>
      <c r="G22" s="20"/>
    </row>
    <row r="23" customFormat="false" ht="14.25" hidden="false" customHeight="true" outlineLevel="0" collapsed="false">
      <c r="A23" s="29" t="s">
        <v>111</v>
      </c>
      <c r="B23" s="50" t="n">
        <f aca="false">'Source Data'!C19</f>
        <v>1547</v>
      </c>
      <c r="C23" s="50" t="n">
        <f aca="false">'Source Data'!D19</f>
        <v>1618</v>
      </c>
      <c r="D23" s="50" t="n">
        <f aca="false">'Source Data'!E19</f>
        <v>108</v>
      </c>
      <c r="E23" s="50" t="n">
        <f aca="false">'Source Data'!F19</f>
        <v>963</v>
      </c>
      <c r="F23" s="59" t="n">
        <f aca="false">F20-F21</f>
        <v>1445.59153025669</v>
      </c>
      <c r="G23" s="20"/>
    </row>
    <row r="24" customFormat="false" ht="14.25" hidden="false" customHeight="true" outlineLevel="0" collapsed="false">
      <c r="A24" s="58" t="s">
        <v>112</v>
      </c>
      <c r="B24" s="50" t="n">
        <f aca="false">'Source Data'!C20</f>
        <v>1547</v>
      </c>
      <c r="C24" s="50" t="n">
        <f aca="false">'Source Data'!D20</f>
        <v>1618</v>
      </c>
      <c r="D24" s="50" t="n">
        <f aca="false">'Source Data'!E20</f>
        <v>1399</v>
      </c>
      <c r="E24" s="50" t="n">
        <f aca="false">'Source Data'!F20</f>
        <v>963</v>
      </c>
      <c r="F24" s="53" t="n">
        <f aca="false">F23</f>
        <v>1445.59153025669</v>
      </c>
      <c r="G24" s="20"/>
    </row>
    <row r="25" customFormat="false" ht="14.25" hidden="false" customHeight="true" outlineLevel="0" collapsed="false">
      <c r="A25" s="54" t="s">
        <v>113</v>
      </c>
      <c r="B25" s="55" t="n">
        <f aca="false">'Source Data'!C27</f>
        <v>0.0254235895413236</v>
      </c>
      <c r="C25" s="55" t="n">
        <f aca="false">'Source Data'!D27</f>
        <v>0.0251656453168258</v>
      </c>
      <c r="D25" s="55" t="n">
        <f aca="false">'Source Data'!E27</f>
        <v>0.00159005918553635</v>
      </c>
      <c r="E25" s="55" t="n">
        <f aca="false">'Source Data'!F27</f>
        <v>0.0139409644309973</v>
      </c>
      <c r="F25" s="56" t="n">
        <f aca="false">F23/F2</f>
        <v>0.0200609788246931</v>
      </c>
      <c r="G25" s="20"/>
    </row>
    <row r="26" customFormat="false" ht="14.25" hidden="false" customHeight="true" outlineLevel="0" collapsed="false">
      <c r="A26" s="20"/>
      <c r="B26" s="50"/>
      <c r="C26" s="50"/>
      <c r="D26" s="50"/>
      <c r="E26" s="50"/>
      <c r="F26" s="51"/>
      <c r="G26" s="20"/>
    </row>
    <row r="27" customFormat="false" ht="14.25" hidden="false" customHeight="true" outlineLevel="0" collapsed="false">
      <c r="A27" s="61" t="s">
        <v>114</v>
      </c>
      <c r="B27" s="50"/>
      <c r="C27" s="50"/>
      <c r="D27" s="50"/>
      <c r="E27" s="50"/>
      <c r="F27" s="51"/>
      <c r="G27" s="20"/>
    </row>
    <row r="28" customFormat="false" ht="14.25" hidden="false" customHeight="true" outlineLevel="0" collapsed="false">
      <c r="A28" s="54" t="s">
        <v>80</v>
      </c>
      <c r="B28" s="50"/>
      <c r="C28" s="62" t="n">
        <f aca="false">(C2-B2)/B2</f>
        <v>0.056615556541603</v>
      </c>
      <c r="D28" s="62" t="n">
        <f aca="false">(D2-C2)/C2</f>
        <v>0.0564282825769123</v>
      </c>
      <c r="E28" s="62" t="n">
        <f aca="false">(E2-D2)/D2</f>
        <v>0.0170047996230971</v>
      </c>
      <c r="F28" s="62" t="n">
        <f aca="false">(F2-E2)/E2</f>
        <v>0.0431818145433091</v>
      </c>
      <c r="G28" s="20"/>
    </row>
    <row r="29" customFormat="false" ht="14.25" hidden="false" customHeight="true" outlineLevel="0" collapsed="false">
      <c r="A29" s="54" t="s">
        <v>115</v>
      </c>
      <c r="B29" s="50"/>
      <c r="C29" s="62" t="n">
        <f aca="false">(C5-B5)/B5</f>
        <v>0.075449251768831</v>
      </c>
      <c r="D29" s="62" t="n">
        <f aca="false">(D5-C5)/C5</f>
        <v>0.08011178388449</v>
      </c>
      <c r="E29" s="62" t="n">
        <f aca="false">(E5-D5)/D5</f>
        <v>0.0141763691246227</v>
      </c>
      <c r="F29" s="62" t="n">
        <f aca="false">(F5-E5)/E5</f>
        <v>0.0294155719617277</v>
      </c>
      <c r="G29" s="20"/>
    </row>
    <row r="30" customFormat="false" ht="14.25" hidden="false" customHeight="true" outlineLevel="0" collapsed="false">
      <c r="A30" s="54" t="s">
        <v>116</v>
      </c>
      <c r="B30" s="50"/>
      <c r="C30" s="62" t="n">
        <f aca="false">(C14-B14)/B14</f>
        <v>0.114455592716462</v>
      </c>
      <c r="D30" s="62" t="n">
        <f aca="false">(D14-C14)/C14</f>
        <v>0.106035345115038</v>
      </c>
      <c r="E30" s="62" t="n">
        <f aca="false">(E14-D14)/D14</f>
        <v>-0.169731685257763</v>
      </c>
      <c r="F30" s="62" t="n">
        <f aca="false">(F14-E14)/E14</f>
        <v>0.0588396546159195</v>
      </c>
      <c r="G30" s="20"/>
    </row>
    <row r="31" customFormat="false" ht="14.25" hidden="false" customHeight="true" outlineLevel="0" collapsed="false">
      <c r="A31" s="54" t="s">
        <v>117</v>
      </c>
      <c r="B31" s="50"/>
      <c r="C31" s="62" t="n">
        <f aca="false">(C24-B24)/B24</f>
        <v>0.0458952811893988</v>
      </c>
      <c r="D31" s="62" t="n">
        <f aca="false">(D24-C24)/C24</f>
        <v>-0.135352286773795</v>
      </c>
      <c r="E31" s="62" t="n">
        <f aca="false">(E24-D24)/D24</f>
        <v>-0.311651179413867</v>
      </c>
      <c r="F31" s="62" t="n">
        <f aca="false">(F24-E24)/E24</f>
        <v>0.501133468594696</v>
      </c>
      <c r="G3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DV1" colorId="64" zoomScale="100" zoomScaleNormal="100" zoomScalePageLayoutView="100" workbookViewId="0">
      <pane xSplit="0" ySplit="1" topLeftCell="A4" activePane="bottomLeft" state="frozen"/>
      <selection pane="topLeft" activeCell="DV1" activeCellId="0" sqref="DV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0.77"/>
    <col collapsed="false" customWidth="true" hidden="false" outlineLevel="0" max="6" min="2" style="0" width="18.56"/>
    <col collapsed="false" customWidth="true" hidden="false" outlineLevel="0" max="7" min="7" style="0" width="51.88"/>
  </cols>
  <sheetData>
    <row r="1" customFormat="false" ht="24.75" hidden="false" customHeight="true" outlineLevel="0" collapsed="false">
      <c r="A1" s="63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64" t="s">
        <v>100</v>
      </c>
      <c r="G1" s="65" t="s">
        <v>101</v>
      </c>
    </row>
    <row r="2" customFormat="false" ht="14.25" hidden="false" customHeight="true" outlineLevel="0" collapsed="false">
      <c r="A2" s="22" t="s">
        <v>118</v>
      </c>
      <c r="B2" s="22"/>
      <c r="C2" s="22"/>
      <c r="D2" s="22"/>
      <c r="E2" s="22"/>
      <c r="F2" s="66"/>
      <c r="G2" s="67"/>
      <c r="H2" s="68"/>
      <c r="I2" s="68"/>
      <c r="J2" s="68"/>
    </row>
    <row r="3" customFormat="false" ht="14.25" hidden="false" customHeight="true" outlineLevel="0" collapsed="false">
      <c r="A3" s="69" t="s">
        <v>52</v>
      </c>
      <c r="B3" s="70" t="n">
        <f aca="false">'Source Data'!C30</f>
        <v>6110</v>
      </c>
      <c r="C3" s="70" t="n">
        <f aca="false">'Source Data'!D30</f>
        <v>6375</v>
      </c>
      <c r="D3" s="70" t="n">
        <f aca="false">'Source Data'!E30</f>
        <v>6991</v>
      </c>
      <c r="E3" s="70" t="n">
        <f aca="false">'Source Data'!F30</f>
        <v>6991</v>
      </c>
      <c r="F3" s="71" t="n">
        <f aca="false">E3*(1+Assumptions!B12)</f>
        <v>7305.595</v>
      </c>
      <c r="G3" s="72"/>
    </row>
    <row r="4" customFormat="false" ht="14.25" hidden="false" customHeight="true" outlineLevel="0" collapsed="false">
      <c r="A4" s="69" t="s">
        <v>53</v>
      </c>
      <c r="B4" s="70" t="n">
        <f aca="false">'Source Data'!C31</f>
        <v>27163</v>
      </c>
      <c r="C4" s="70" t="n">
        <f aca="false">'Source Data'!D31</f>
        <v>27273</v>
      </c>
      <c r="D4" s="70" t="n">
        <f aca="false">'Source Data'!E31</f>
        <v>26945</v>
      </c>
      <c r="E4" s="70" t="n">
        <f aca="false">'Source Data'!F31</f>
        <v>26838</v>
      </c>
      <c r="F4" s="71" t="n">
        <f aca="false">E4*(1+Assumptions!B13)</f>
        <v>26972.19</v>
      </c>
      <c r="G4" s="72"/>
    </row>
    <row r="5" customFormat="false" ht="14.25" hidden="false" customHeight="true" outlineLevel="0" collapsed="false">
      <c r="A5" s="5" t="s">
        <v>119</v>
      </c>
      <c r="B5" s="73" t="n">
        <f aca="false">SUM(B3:B4)</f>
        <v>33273</v>
      </c>
      <c r="C5" s="73" t="n">
        <f aca="false">SUM(C3:C4)</f>
        <v>33648</v>
      </c>
      <c r="D5" s="73" t="n">
        <f aca="false">SUM(D3:D4)</f>
        <v>33936</v>
      </c>
      <c r="E5" s="73" t="n">
        <f aca="false">SUM(E3:E4)</f>
        <v>33829</v>
      </c>
      <c r="F5" s="74" t="n">
        <f aca="false">SUM(F3:F4)</f>
        <v>34277.785</v>
      </c>
      <c r="G5" s="75" t="s">
        <v>120</v>
      </c>
    </row>
    <row r="6" customFormat="false" ht="14.25" hidden="false" customHeight="true" outlineLevel="0" collapsed="false">
      <c r="A6" s="20"/>
      <c r="B6" s="20"/>
      <c r="C6" s="20"/>
      <c r="D6" s="20"/>
      <c r="E6" s="20"/>
      <c r="F6" s="76"/>
      <c r="G6" s="77"/>
    </row>
    <row r="7" customFormat="false" ht="14.25" hidden="false" customHeight="true" outlineLevel="0" collapsed="false">
      <c r="A7" s="22" t="s">
        <v>121</v>
      </c>
      <c r="B7" s="22"/>
      <c r="C7" s="22"/>
      <c r="D7" s="22"/>
      <c r="E7" s="22"/>
      <c r="F7" s="66"/>
      <c r="G7" s="67"/>
    </row>
    <row r="8" customFormat="false" ht="14.25" hidden="false" customHeight="true" outlineLevel="0" collapsed="false">
      <c r="A8" s="69" t="s">
        <v>55</v>
      </c>
      <c r="B8" s="70" t="n">
        <f aca="false">'Source Data'!C33</f>
        <v>10750</v>
      </c>
      <c r="C8" s="70" t="n">
        <f aca="false">'Source Data'!D33</f>
        <v>11886</v>
      </c>
      <c r="D8" s="70" t="n">
        <f aca="false">'Source Data'!E33</f>
        <v>12819</v>
      </c>
      <c r="E8" s="70" t="n">
        <f aca="false">'Source Data'!F33</f>
        <v>12297</v>
      </c>
      <c r="F8" s="71" t="n">
        <f aca="false">E8*(1+Assumptions!B14)</f>
        <v>12850.365</v>
      </c>
      <c r="G8" s="78"/>
    </row>
    <row r="9" customFormat="false" ht="14.25" hidden="false" customHeight="true" outlineLevel="0" collapsed="false">
      <c r="A9" s="69" t="s">
        <v>56</v>
      </c>
      <c r="B9" s="70" t="n">
        <f aca="false">'Source Data'!C34</f>
        <v>16419</v>
      </c>
      <c r="C9" s="70" t="n">
        <f aca="false">'Source Data'!D34</f>
        <v>15197</v>
      </c>
      <c r="D9" s="70" t="n">
        <f aca="false">'Source Data'!E34</f>
        <v>15547</v>
      </c>
      <c r="E9" s="70" t="n">
        <f aca="false">'Source Data'!F34</f>
        <v>16570</v>
      </c>
      <c r="F9" s="71" t="n">
        <f aca="false">E9*(1+Assumptions!B15)</f>
        <v>16619.71</v>
      </c>
      <c r="G9" s="78"/>
    </row>
    <row r="10" customFormat="false" ht="14.25" hidden="false" customHeight="true" outlineLevel="0" collapsed="false">
      <c r="A10" s="20"/>
      <c r="B10" s="20"/>
      <c r="C10" s="20"/>
      <c r="D10" s="20"/>
      <c r="E10" s="20"/>
      <c r="F10" s="76"/>
      <c r="G10" s="77"/>
    </row>
    <row r="11" customFormat="false" ht="14.25" hidden="false" customHeight="true" outlineLevel="0" collapsed="false">
      <c r="A11" s="5" t="s">
        <v>122</v>
      </c>
      <c r="B11" s="73" t="n">
        <f aca="false">SUM(B8:B9)</f>
        <v>27169</v>
      </c>
      <c r="C11" s="73" t="n">
        <f aca="false">SUM(C8:C9)</f>
        <v>27083</v>
      </c>
      <c r="D11" s="73" t="n">
        <f aca="false">SUM(D8:D9)</f>
        <v>28366</v>
      </c>
      <c r="E11" s="73" t="n">
        <f aca="false">SUM(E8:E9)</f>
        <v>28867</v>
      </c>
      <c r="F11" s="74" t="n">
        <f aca="false">SUM(F8:F9)</f>
        <v>29470.075</v>
      </c>
      <c r="G11" s="75" t="s">
        <v>123</v>
      </c>
    </row>
    <row r="12" customFormat="false" ht="14.25" hidden="false" customHeight="true" outlineLevel="0" collapsed="false">
      <c r="A12" s="20"/>
      <c r="B12" s="20"/>
      <c r="C12" s="20"/>
      <c r="D12" s="20"/>
      <c r="E12" s="20"/>
      <c r="F12" s="76"/>
      <c r="G12" s="77"/>
    </row>
    <row r="13" customFormat="false" ht="14.25" hidden="false" customHeight="true" outlineLevel="0" collapsed="false">
      <c r="A13" s="22" t="s">
        <v>124</v>
      </c>
      <c r="B13" s="22"/>
      <c r="C13" s="22"/>
      <c r="D13" s="22"/>
      <c r="E13" s="22"/>
      <c r="F13" s="66"/>
      <c r="G13" s="79"/>
    </row>
    <row r="14" customFormat="false" ht="14.25" hidden="false" customHeight="true" outlineLevel="0" collapsed="false">
      <c r="A14" s="69" t="s">
        <v>58</v>
      </c>
      <c r="B14" s="70" t="n">
        <f aca="false">'Source Data'!C36</f>
        <v>6104</v>
      </c>
      <c r="C14" s="70" t="n">
        <f aca="false">'Source Data'!D36</f>
        <v>6565</v>
      </c>
      <c r="D14" s="70" t="n">
        <f aca="false">'Source Data'!E36</f>
        <v>5570</v>
      </c>
      <c r="E14" s="70" t="n">
        <f aca="false">'Source Data'!F36</f>
        <v>4962</v>
      </c>
      <c r="F14" s="71" t="n">
        <f aca="false">F5-F11</f>
        <v>4807.71</v>
      </c>
      <c r="G14" s="78"/>
    </row>
    <row r="15" customFormat="false" ht="14.25" hidden="false" customHeight="true" outlineLevel="0" collapsed="false">
      <c r="A15" s="20"/>
      <c r="B15" s="20"/>
      <c r="C15" s="20"/>
      <c r="D15" s="20"/>
      <c r="E15" s="20"/>
      <c r="F15" s="76"/>
      <c r="G15" s="77"/>
    </row>
    <row r="16" customFormat="false" ht="14.25" hidden="false" customHeight="true" outlineLevel="0" collapsed="false">
      <c r="A16" s="5" t="s">
        <v>125</v>
      </c>
      <c r="B16" s="73" t="n">
        <f aca="false">B11+B14</f>
        <v>33273</v>
      </c>
      <c r="C16" s="73" t="n">
        <f aca="false">C11+C14</f>
        <v>33648</v>
      </c>
      <c r="D16" s="73" t="n">
        <f aca="false">D11+D14</f>
        <v>33936</v>
      </c>
      <c r="E16" s="73" t="n">
        <f aca="false">E11+E14</f>
        <v>33829</v>
      </c>
      <c r="F16" s="74" t="n">
        <f aca="false">F11+F14</f>
        <v>34277.785</v>
      </c>
      <c r="G16" s="80" t="s">
        <v>126</v>
      </c>
    </row>
    <row r="17" customFormat="false" ht="14.25" hidden="false" customHeight="true" outlineLevel="0" collapsed="false">
      <c r="A17" s="81" t="s">
        <v>127</v>
      </c>
      <c r="B17" s="82" t="n">
        <f aca="false">B5-B16</f>
        <v>0</v>
      </c>
      <c r="C17" s="82" t="n">
        <f aca="false">C5-C16</f>
        <v>0</v>
      </c>
      <c r="D17" s="82" t="n">
        <f aca="false">D5-D16</f>
        <v>0</v>
      </c>
      <c r="E17" s="82" t="n">
        <f aca="false">E5-E16</f>
        <v>0</v>
      </c>
      <c r="F17" s="83" t="n">
        <f aca="false">F5-F16</f>
        <v>0</v>
      </c>
      <c r="G17" s="78" t="s">
        <v>128</v>
      </c>
    </row>
    <row r="18" customFormat="false" ht="14.25" hidden="false" customHeight="true" outlineLevel="0" collapsed="false">
      <c r="A18" s="20"/>
      <c r="B18" s="20"/>
      <c r="C18" s="20"/>
      <c r="D18" s="20"/>
      <c r="E18" s="20"/>
      <c r="F18" s="76"/>
      <c r="G18" s="77"/>
    </row>
    <row r="19" customFormat="false" ht="14.25" hidden="false" customHeight="true" outlineLevel="0" collapsed="false">
      <c r="A19" s="22" t="s">
        <v>114</v>
      </c>
      <c r="B19" s="84"/>
      <c r="C19" s="84"/>
      <c r="D19" s="84"/>
      <c r="E19" s="84"/>
      <c r="F19" s="85"/>
      <c r="G19" s="77"/>
    </row>
    <row r="20" customFormat="false" ht="14.25" hidden="false" customHeight="true" outlineLevel="0" collapsed="false">
      <c r="A20" s="81" t="s">
        <v>129</v>
      </c>
      <c r="B20" s="20"/>
      <c r="C20" s="86" t="n">
        <f aca="false">(C5-B5)/B5</f>
        <v>0.0112703994229556</v>
      </c>
      <c r="D20" s="86" t="n">
        <f aca="false">(D5-C5)/C5</f>
        <v>0.00855920114122682</v>
      </c>
      <c r="E20" s="86" t="n">
        <f aca="false">(E5-D5)/D5</f>
        <v>-0.00315299387081565</v>
      </c>
      <c r="F20" s="87" t="n">
        <f aca="false">(F5-E5)/E5</f>
        <v>0.0132662804102987</v>
      </c>
      <c r="G20" s="77"/>
    </row>
    <row r="21" customFormat="false" ht="14.25" hidden="false" customHeight="true" outlineLevel="0" collapsed="false">
      <c r="A21" s="81" t="s">
        <v>130</v>
      </c>
      <c r="B21" s="20"/>
      <c r="C21" s="86" t="n">
        <f aca="false">(C11-B11)/B11</f>
        <v>-0.00316537229931172</v>
      </c>
      <c r="D21" s="86" t="n">
        <f aca="false">(D11-C11)/C11</f>
        <v>0.0473728907432707</v>
      </c>
      <c r="E21" s="86" t="n">
        <f aca="false">(E11-D11)/D11</f>
        <v>0.017661989705986</v>
      </c>
      <c r="F21" s="87" t="n">
        <f aca="false">(F11-E11)/E11</f>
        <v>0.0208915024075933</v>
      </c>
      <c r="G21" s="77"/>
    </row>
    <row r="22" customFormat="false" ht="14.25" hidden="false" customHeight="true" outlineLevel="0" collapsed="false">
      <c r="A22" s="81" t="s">
        <v>131</v>
      </c>
      <c r="B22" s="20"/>
      <c r="C22" s="86" t="n">
        <f aca="false">(C14-B14)/B14</f>
        <v>0.075524246395806</v>
      </c>
      <c r="D22" s="86" t="n">
        <f aca="false">(D14-C14)/C14</f>
        <v>-0.151561309977152</v>
      </c>
      <c r="E22" s="86" t="n">
        <f aca="false">(E14-D14)/D14</f>
        <v>-0.109156193895871</v>
      </c>
      <c r="F22" s="87" t="n">
        <f aca="false">(F14-E14)/E14</f>
        <v>-0.031094316807739</v>
      </c>
      <c r="G22" s="77"/>
    </row>
    <row r="23" customFormat="false" ht="14.25" hidden="false" customHeight="true" outlineLevel="0" collapsed="false">
      <c r="A23" s="20"/>
      <c r="B23" s="20"/>
      <c r="C23" s="20"/>
      <c r="D23" s="20"/>
      <c r="E23" s="20"/>
      <c r="F23" s="76"/>
      <c r="G23" s="77"/>
    </row>
    <row r="24" customFormat="false" ht="14.25" hidden="false" customHeight="true" outlineLevel="0" collapsed="false">
      <c r="A24" s="22" t="s">
        <v>132</v>
      </c>
      <c r="B24" s="22"/>
      <c r="C24" s="22"/>
      <c r="D24" s="22"/>
      <c r="E24" s="22"/>
      <c r="F24" s="66"/>
      <c r="G24" s="77"/>
    </row>
    <row r="25" customFormat="false" ht="14.25" hidden="false" customHeight="true" outlineLevel="0" collapsed="false">
      <c r="A25" s="81" t="s">
        <v>133</v>
      </c>
      <c r="B25" s="86" t="n">
        <f aca="false">B14/B5</f>
        <v>0.183452048207255</v>
      </c>
      <c r="C25" s="86" t="n">
        <f aca="false">C14/C5</f>
        <v>0.195108178792202</v>
      </c>
      <c r="D25" s="86" t="n">
        <f aca="false">D14/D5</f>
        <v>0.164132484677039</v>
      </c>
      <c r="E25" s="86" t="n">
        <f aca="false">E14/E5</f>
        <v>0.146678884980342</v>
      </c>
      <c r="F25" s="87" t="n">
        <f aca="false">F14/F5</f>
        <v>0.140257312425526</v>
      </c>
      <c r="G25" s="77"/>
    </row>
    <row r="26" customFormat="false" ht="14.25" hidden="false" customHeight="true" outlineLevel="0" collapsed="false">
      <c r="A26" s="81" t="s">
        <v>134</v>
      </c>
      <c r="B26" s="88" t="n">
        <f aca="false">B11/B14</f>
        <v>4.45101572739187</v>
      </c>
      <c r="C26" s="88" t="n">
        <f aca="false">C11/C14</f>
        <v>4.12536176694593</v>
      </c>
      <c r="D26" s="88" t="n">
        <f aca="false">D11/D14</f>
        <v>5.09263913824058</v>
      </c>
      <c r="E26" s="88" t="n">
        <f aca="false">E11/E14</f>
        <v>5.81761386537686</v>
      </c>
      <c r="F26" s="89" t="n">
        <f aca="false">F11/F14</f>
        <v>6.1297530425088</v>
      </c>
      <c r="G26" s="77"/>
    </row>
    <row r="27" customFormat="false" ht="14.25" hidden="false" customHeight="true" outlineLevel="0" collapsed="false">
      <c r="A27" s="81" t="s">
        <v>135</v>
      </c>
      <c r="B27" s="90" t="n">
        <f aca="false">B3/B8</f>
        <v>0.568372093023256</v>
      </c>
      <c r="C27" s="90" t="n">
        <f aca="false">C3/C8</f>
        <v>0.536345280161535</v>
      </c>
      <c r="D27" s="90" t="n">
        <f aca="false">D3/D8</f>
        <v>0.545362352757625</v>
      </c>
      <c r="E27" s="90" t="n">
        <f aca="false">E3/E8</f>
        <v>0.568512645360657</v>
      </c>
      <c r="F27" s="91" t="n">
        <f aca="false">F3/F8</f>
        <v>0.568512645360657</v>
      </c>
      <c r="G27" s="7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3"/>
  </cols>
  <sheetData>
    <row r="1" customFormat="false" ht="24.75" hidden="false" customHeight="true" outlineLevel="0" collapsed="false">
      <c r="A1" s="92" t="s">
        <v>136</v>
      </c>
    </row>
    <row r="2" customFormat="false" ht="14.25" hidden="false" customHeight="true" outlineLevel="0" collapsed="false">
      <c r="A2" s="93" t="s">
        <v>137</v>
      </c>
    </row>
    <row r="3" customFormat="false" ht="18" hidden="false" customHeight="true" outlineLevel="0" collapsed="false">
      <c r="A3" s="94" t="s">
        <v>2</v>
      </c>
      <c r="B3" s="94" t="s">
        <v>4</v>
      </c>
      <c r="C3" s="94" t="s">
        <v>5</v>
      </c>
      <c r="D3" s="94" t="s">
        <v>6</v>
      </c>
      <c r="E3" s="94" t="s">
        <v>7</v>
      </c>
      <c r="F3" s="94" t="s">
        <v>100</v>
      </c>
      <c r="G3" s="94"/>
    </row>
    <row r="4" customFormat="false" ht="14.25" hidden="false" customHeight="true" outlineLevel="0" collapsed="false">
      <c r="A4" s="95" t="s">
        <v>138</v>
      </c>
      <c r="B4" s="95"/>
      <c r="C4" s="95"/>
      <c r="D4" s="95"/>
      <c r="E4" s="95"/>
      <c r="F4" s="95"/>
      <c r="G4" s="95"/>
    </row>
    <row r="5" customFormat="false" ht="14.25" hidden="false" customHeight="true" outlineLevel="0" collapsed="false">
      <c r="A5" s="96" t="s">
        <v>60</v>
      </c>
      <c r="B5" s="97" t="n">
        <v>3378</v>
      </c>
      <c r="C5" s="97" t="n">
        <v>4754</v>
      </c>
      <c r="D5" s="97" t="n">
        <v>4359</v>
      </c>
      <c r="E5" s="97" t="n">
        <v>4550</v>
      </c>
      <c r="F5" s="98" t="n">
        <v>4228.26</v>
      </c>
      <c r="G5" s="99"/>
    </row>
    <row r="6" customFormat="false" ht="14.25" hidden="false" customHeight="true" outlineLevel="0" collapsed="false">
      <c r="A6" s="95" t="s">
        <v>139</v>
      </c>
      <c r="B6" s="95"/>
      <c r="C6" s="95"/>
      <c r="D6" s="95"/>
      <c r="E6" s="95"/>
      <c r="F6" s="95"/>
      <c r="G6" s="95"/>
    </row>
    <row r="7" customFormat="false" ht="14.25" hidden="false" customHeight="true" outlineLevel="0" collapsed="false">
      <c r="A7" s="96" t="s">
        <v>140</v>
      </c>
      <c r="B7" s="97" t="n">
        <v>-2457</v>
      </c>
      <c r="C7" s="97" t="n">
        <v>-1844</v>
      </c>
      <c r="D7" s="97" t="n">
        <v>-2277</v>
      </c>
      <c r="E7" s="97" t="n">
        <v>-1926</v>
      </c>
      <c r="F7" s="98" t="n">
        <v>-2100</v>
      </c>
      <c r="G7" s="99"/>
    </row>
    <row r="8" customFormat="false" ht="14.25" hidden="false" customHeight="true" outlineLevel="0" collapsed="false">
      <c r="A8" s="96" t="s">
        <v>61</v>
      </c>
      <c r="B8" s="97" t="n">
        <v>-2457</v>
      </c>
      <c r="C8" s="97" t="n">
        <v>-1844</v>
      </c>
      <c r="D8" s="97" t="n">
        <v>-2277</v>
      </c>
      <c r="E8" s="97" t="n">
        <v>-1926</v>
      </c>
      <c r="F8" s="98" t="n">
        <v>-2100</v>
      </c>
      <c r="G8" s="99"/>
    </row>
    <row r="9" customFormat="false" ht="14.25" hidden="false" customHeight="true" outlineLevel="0" collapsed="false">
      <c r="A9" s="100" t="s">
        <v>141</v>
      </c>
      <c r="B9" s="101" t="n">
        <v>921</v>
      </c>
      <c r="C9" s="101" t="n">
        <v>2910</v>
      </c>
      <c r="D9" s="101" t="n">
        <v>2082</v>
      </c>
      <c r="E9" s="101" t="n">
        <v>2624</v>
      </c>
      <c r="F9" s="101" t="n">
        <v>2128.26</v>
      </c>
      <c r="G9" s="99"/>
    </row>
    <row r="10" customFormat="false" ht="4.5" hidden="false" customHeight="true" outlineLevel="0" collapsed="false"/>
    <row r="11" customFormat="false" ht="14.25" hidden="false" customHeight="true" outlineLevel="0" collapsed="false">
      <c r="A11" s="95" t="s">
        <v>142</v>
      </c>
      <c r="B11" s="95"/>
      <c r="C11" s="95"/>
      <c r="D11" s="95"/>
      <c r="E11" s="95"/>
      <c r="F11" s="95"/>
      <c r="G11" s="95"/>
    </row>
    <row r="12" customFormat="false" ht="14.25" hidden="false" customHeight="true" outlineLevel="0" collapsed="false">
      <c r="A12" s="96" t="s">
        <v>62</v>
      </c>
      <c r="B12" s="97" t="n">
        <v>-1337</v>
      </c>
      <c r="C12" s="97" t="n">
        <v>-2809</v>
      </c>
      <c r="D12" s="97" t="n">
        <v>-1919</v>
      </c>
      <c r="E12" s="97" t="n">
        <v>-2649</v>
      </c>
      <c r="F12" s="98" t="n">
        <v>-2179</v>
      </c>
      <c r="G12" s="99"/>
    </row>
    <row r="13" customFormat="false" ht="4.5" hidden="false" customHeight="true" outlineLevel="0" collapsed="false"/>
    <row r="14" customFormat="false" ht="14.25" hidden="false" customHeight="true" outlineLevel="0" collapsed="false">
      <c r="A14" s="100" t="s">
        <v>143</v>
      </c>
      <c r="B14" s="101" t="n">
        <v>-416</v>
      </c>
      <c r="C14" s="101" t="n">
        <v>101</v>
      </c>
      <c r="D14" s="101" t="n">
        <v>163</v>
      </c>
      <c r="E14" s="101" t="n">
        <v>-25</v>
      </c>
      <c r="F14" s="101" t="n">
        <v>-50.74</v>
      </c>
      <c r="G14" s="99"/>
    </row>
    <row r="15" customFormat="false" ht="4.5" hidden="false" customHeight="true" outlineLevel="0" collapsed="false"/>
    <row r="16" customFormat="false" ht="14.25" hidden="false" customHeight="true" outlineLevel="0" collapsed="false">
      <c r="A16" s="95" t="s">
        <v>114</v>
      </c>
      <c r="B16" s="95"/>
      <c r="C16" s="95"/>
      <c r="D16" s="95"/>
      <c r="E16" s="95"/>
      <c r="F16" s="95"/>
      <c r="G16" s="95"/>
    </row>
    <row r="17" customFormat="false" ht="14.25" hidden="false" customHeight="true" outlineLevel="0" collapsed="false">
      <c r="A17" s="102" t="s">
        <v>144</v>
      </c>
      <c r="B17" s="103"/>
      <c r="C17" s="103" t="n">
        <v>0.407341622261693</v>
      </c>
      <c r="D17" s="103" t="n">
        <v>-0.0830879259570888</v>
      </c>
      <c r="E17" s="103" t="n">
        <v>0.0438173893094747</v>
      </c>
      <c r="F17" s="103" t="n">
        <v>-0.0707120879120879</v>
      </c>
    </row>
    <row r="18" customFormat="false" ht="14.25" hidden="false" customHeight="true" outlineLevel="0" collapsed="false">
      <c r="A18" s="102" t="s">
        <v>145</v>
      </c>
      <c r="B18" s="103"/>
      <c r="C18" s="103" t="n">
        <v>2.15960912052117</v>
      </c>
      <c r="D18" s="103" t="n">
        <v>-0.284536082474227</v>
      </c>
      <c r="E18" s="103" t="n">
        <v>0.260326609029779</v>
      </c>
      <c r="F18" s="103" t="n">
        <v>-0.188925304878049</v>
      </c>
    </row>
    <row r="19" customFormat="false" ht="14.25" hidden="false" customHeight="true" outlineLevel="0" collapsed="false">
      <c r="A19" s="102" t="s">
        <v>146</v>
      </c>
      <c r="B19" s="103" t="n">
        <v>0.272646536412078</v>
      </c>
      <c r="C19" s="103" t="n">
        <v>0.61211611274716</v>
      </c>
      <c r="D19" s="103" t="n">
        <v>0.477632484514797</v>
      </c>
      <c r="E19" s="103" t="n">
        <v>0.576703296703297</v>
      </c>
      <c r="F19" s="103" t="n">
        <v>0.503341800173121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</cols>
  <sheetData>
    <row r="1" customFormat="false" ht="24.75" hidden="false" customHeight="true" outlineLevel="0" collapsed="false">
      <c r="A1" s="92" t="s">
        <v>147</v>
      </c>
    </row>
    <row r="2" customFormat="false" ht="14.25" hidden="false" customHeight="true" outlineLevel="0" collapsed="false">
      <c r="A2" s="104" t="s">
        <v>148</v>
      </c>
    </row>
    <row r="3" customFormat="false" ht="18" hidden="false" customHeight="true" outlineLevel="0" collapsed="false">
      <c r="A3" s="94" t="s">
        <v>2</v>
      </c>
      <c r="B3" s="94" t="s">
        <v>149</v>
      </c>
      <c r="C3" s="94" t="s">
        <v>150</v>
      </c>
      <c r="D3" s="94" t="s">
        <v>151</v>
      </c>
      <c r="E3" s="94" t="s">
        <v>152</v>
      </c>
      <c r="F3" s="105"/>
      <c r="G3" s="105"/>
    </row>
    <row r="4" customFormat="false" ht="14.25" hidden="false" customHeight="true" outlineLevel="0" collapsed="false">
      <c r="A4" s="95" t="s">
        <v>9</v>
      </c>
      <c r="B4" s="95"/>
      <c r="C4" s="95"/>
      <c r="D4" s="95"/>
      <c r="E4" s="95"/>
      <c r="F4" s="105"/>
      <c r="G4" s="105"/>
    </row>
    <row r="5" customFormat="false" ht="14.25" hidden="false" customHeight="true" outlineLevel="0" collapsed="false">
      <c r="A5" s="96" t="s">
        <v>10</v>
      </c>
      <c r="B5" s="97" t="n">
        <v>67922</v>
      </c>
      <c r="C5" s="97" t="n">
        <v>69077</v>
      </c>
      <c r="D5" s="97" t="n">
        <v>1155</v>
      </c>
      <c r="E5" s="103" t="n">
        <v>0.0170047996230971</v>
      </c>
      <c r="F5" s="105"/>
      <c r="G5" s="105"/>
    </row>
    <row r="6" customFormat="false" ht="14.25" hidden="false" customHeight="true" outlineLevel="0" collapsed="false">
      <c r="A6" s="96" t="s">
        <v>13</v>
      </c>
      <c r="B6" s="97" t="n">
        <v>49370</v>
      </c>
      <c r="C6" s="97" t="n">
        <v>50262</v>
      </c>
      <c r="D6" s="97" t="n">
        <v>892</v>
      </c>
      <c r="E6" s="103" t="n">
        <v>0.0180676524204983</v>
      </c>
      <c r="F6" s="105"/>
      <c r="G6" s="105"/>
    </row>
    <row r="7" customFormat="false" ht="14.25" hidden="false" customHeight="true" outlineLevel="0" collapsed="false">
      <c r="A7" s="106" t="s">
        <v>15</v>
      </c>
      <c r="B7" s="107" t="n">
        <v>18552</v>
      </c>
      <c r="C7" s="107" t="n">
        <v>18815</v>
      </c>
      <c r="D7" s="107" t="n">
        <v>263</v>
      </c>
      <c r="E7" s="103" t="n">
        <v>0.0141763691246227</v>
      </c>
      <c r="F7" s="105"/>
      <c r="G7" s="105"/>
    </row>
    <row r="8" customFormat="false" ht="14.25" hidden="false" customHeight="true" outlineLevel="0" collapsed="false">
      <c r="A8" s="96" t="s">
        <v>42</v>
      </c>
      <c r="B8" s="108" t="n">
        <v>0.273137</v>
      </c>
      <c r="C8" s="108" t="n">
        <v>0.272377</v>
      </c>
      <c r="D8" s="108" t="n">
        <v>-0.000760000000000038</v>
      </c>
      <c r="E8" s="103" t="n">
        <v>-0.00278248644453164</v>
      </c>
      <c r="F8" s="105"/>
      <c r="G8" s="105"/>
    </row>
    <row r="9" customFormat="false" ht="4.5" hidden="false" customHeight="true" outlineLevel="0" collapsed="false">
      <c r="F9" s="105"/>
      <c r="G9" s="105"/>
    </row>
    <row r="10" customFormat="false" ht="14.25" hidden="false" customHeight="true" outlineLevel="0" collapsed="false">
      <c r="A10" s="95" t="s">
        <v>84</v>
      </c>
      <c r="B10" s="95"/>
      <c r="C10" s="95"/>
      <c r="D10" s="95"/>
      <c r="E10" s="95"/>
      <c r="F10" s="105"/>
      <c r="G10" s="105"/>
    </row>
    <row r="11" customFormat="false" ht="14.25" hidden="false" customHeight="true" outlineLevel="0" collapsed="false">
      <c r="A11" s="96" t="s">
        <v>17</v>
      </c>
      <c r="B11" s="97" t="n">
        <v>11707</v>
      </c>
      <c r="C11" s="97" t="n">
        <v>12768</v>
      </c>
      <c r="D11" s="97" t="n">
        <v>1061</v>
      </c>
      <c r="E11" s="103" t="n">
        <v>0.0906295378833177</v>
      </c>
      <c r="F11" s="105"/>
      <c r="G11" s="105"/>
    </row>
    <row r="12" customFormat="false" ht="14.25" hidden="false" customHeight="true" outlineLevel="0" collapsed="false">
      <c r="A12" s="96" t="s">
        <v>19</v>
      </c>
      <c r="B12" s="97" t="n">
        <v>5539</v>
      </c>
      <c r="C12" s="97" t="n">
        <v>4135</v>
      </c>
      <c r="D12" s="97" t="n">
        <v>-1404</v>
      </c>
      <c r="E12" s="103" t="n">
        <v>-0.253475356562556</v>
      </c>
      <c r="F12" s="105"/>
      <c r="G12" s="105"/>
    </row>
    <row r="13" customFormat="false" ht="14.25" hidden="false" customHeight="true" outlineLevel="0" collapsed="false">
      <c r="A13" s="106" t="s">
        <v>153</v>
      </c>
      <c r="B13" s="107" t="n">
        <v>17246</v>
      </c>
      <c r="C13" s="107" t="n">
        <v>16903</v>
      </c>
      <c r="D13" s="107" t="n">
        <v>-343</v>
      </c>
      <c r="E13" s="103" t="n">
        <v>-0.0198886698364838</v>
      </c>
      <c r="F13" s="105"/>
      <c r="G13" s="105"/>
    </row>
    <row r="14" customFormat="false" ht="14.25" hidden="false" customHeight="true" outlineLevel="0" collapsed="false">
      <c r="A14" s="96" t="s">
        <v>154</v>
      </c>
      <c r="B14" s="97" t="n">
        <v>1701</v>
      </c>
      <c r="C14" s="97" t="n">
        <v>569</v>
      </c>
      <c r="D14" s="97" t="n">
        <v>-1132</v>
      </c>
      <c r="E14" s="103" t="n">
        <v>-0.66549088771311</v>
      </c>
      <c r="F14" s="105"/>
      <c r="G14" s="105"/>
    </row>
    <row r="15" customFormat="false" ht="14.25" hidden="false" customHeight="true" outlineLevel="0" collapsed="false">
      <c r="A15" s="106" t="s">
        <v>155</v>
      </c>
      <c r="B15" s="107" t="n">
        <v>15545</v>
      </c>
      <c r="C15" s="107" t="n">
        <v>16334</v>
      </c>
      <c r="D15" s="107" t="n">
        <v>789</v>
      </c>
      <c r="E15" s="103" t="n">
        <v>0.05075587005468</v>
      </c>
      <c r="F15" s="105"/>
      <c r="G15" s="105"/>
    </row>
    <row r="16" customFormat="false" ht="4.5" hidden="false" customHeight="true" outlineLevel="0" collapsed="false">
      <c r="F16" s="105"/>
      <c r="G16" s="105"/>
    </row>
    <row r="17" customFormat="false" ht="14.25" hidden="false" customHeight="true" outlineLevel="0" collapsed="false">
      <c r="A17" s="95" t="s">
        <v>156</v>
      </c>
      <c r="B17" s="95"/>
      <c r="C17" s="95"/>
      <c r="D17" s="95"/>
      <c r="E17" s="95"/>
      <c r="F17" s="105"/>
      <c r="G17" s="105"/>
    </row>
    <row r="18" customFormat="false" ht="14.25" hidden="false" customHeight="true" outlineLevel="0" collapsed="false">
      <c r="A18" s="106" t="s">
        <v>107</v>
      </c>
      <c r="B18" s="107" t="n">
        <v>1616</v>
      </c>
      <c r="C18" s="107" t="n">
        <v>2185</v>
      </c>
      <c r="D18" s="107" t="n">
        <v>569</v>
      </c>
      <c r="E18" s="103" t="n">
        <v>0.35210396039604</v>
      </c>
      <c r="F18" s="105"/>
      <c r="G18" s="105"/>
    </row>
    <row r="19" customFormat="false" ht="14.25" hidden="false" customHeight="true" outlineLevel="0" collapsed="false">
      <c r="A19" s="106" t="s">
        <v>157</v>
      </c>
      <c r="B19" s="107" t="n">
        <v>3317</v>
      </c>
      <c r="C19" s="107" t="n">
        <v>2754</v>
      </c>
      <c r="D19" s="107" t="n">
        <v>-563</v>
      </c>
      <c r="E19" s="103" t="n">
        <v>-0.169731685257763</v>
      </c>
      <c r="F19" s="105"/>
      <c r="G19" s="105"/>
    </row>
    <row r="20" customFormat="false" ht="14.25" hidden="false" customHeight="true" outlineLevel="0" collapsed="false">
      <c r="A20" s="96" t="s">
        <v>48</v>
      </c>
      <c r="B20" s="108" t="n">
        <v>0.048835</v>
      </c>
      <c r="C20" s="108" t="n">
        <v>0.039869</v>
      </c>
      <c r="D20" s="108" t="n">
        <v>-0.008966</v>
      </c>
      <c r="E20" s="103" t="n">
        <v>-0.183597829425617</v>
      </c>
      <c r="F20" s="105"/>
      <c r="G20" s="105"/>
    </row>
    <row r="21" customFormat="false" ht="14.25" hidden="false" customHeight="true" outlineLevel="0" collapsed="false">
      <c r="A21" s="96" t="s">
        <v>31</v>
      </c>
      <c r="B21" s="97" t="n">
        <v>600</v>
      </c>
      <c r="C21" s="97" t="n">
        <v>811</v>
      </c>
      <c r="D21" s="97" t="n">
        <v>211</v>
      </c>
      <c r="E21" s="103" t="n">
        <v>0.351666666666667</v>
      </c>
      <c r="F21" s="105"/>
      <c r="G21" s="105"/>
    </row>
    <row r="22" customFormat="false" ht="14.25" hidden="false" customHeight="true" outlineLevel="0" collapsed="false">
      <c r="A22" s="106" t="s">
        <v>158</v>
      </c>
      <c r="B22" s="107" t="n">
        <v>108</v>
      </c>
      <c r="C22" s="107" t="n">
        <v>963</v>
      </c>
      <c r="D22" s="107" t="n">
        <v>855</v>
      </c>
      <c r="E22" s="103" t="n">
        <v>7.91666666666667</v>
      </c>
      <c r="F22" s="105"/>
      <c r="G22" s="105"/>
    </row>
    <row r="23" customFormat="false" ht="14.25" hidden="false" customHeight="true" outlineLevel="0" collapsed="false">
      <c r="A23" s="106" t="s">
        <v>159</v>
      </c>
      <c r="B23" s="107" t="n">
        <v>1399</v>
      </c>
      <c r="C23" s="107" t="n">
        <v>963</v>
      </c>
      <c r="D23" s="107" t="n">
        <v>-436</v>
      </c>
      <c r="E23" s="103" t="n">
        <v>-0.311651179413867</v>
      </c>
      <c r="F23" s="105"/>
      <c r="G23" s="105"/>
    </row>
    <row r="24" customFormat="false" ht="4.5" hidden="false" customHeight="true" outlineLevel="0" collapsed="false">
      <c r="F24" s="105"/>
      <c r="G24" s="105"/>
    </row>
    <row r="25" customFormat="false" ht="14.25" hidden="false" customHeight="true" outlineLevel="0" collapsed="false">
      <c r="A25" s="95" t="s">
        <v>95</v>
      </c>
      <c r="B25" s="95"/>
      <c r="C25" s="95"/>
      <c r="D25" s="95"/>
      <c r="E25" s="95"/>
      <c r="F25" s="105"/>
      <c r="G25" s="105"/>
    </row>
    <row r="26" customFormat="false" ht="14.25" hidden="false" customHeight="true" outlineLevel="0" collapsed="false">
      <c r="A26" s="96" t="s">
        <v>60</v>
      </c>
      <c r="B26" s="97" t="n">
        <v>4359</v>
      </c>
      <c r="C26" s="97" t="n">
        <v>4550</v>
      </c>
      <c r="D26" s="97" t="n">
        <v>191</v>
      </c>
      <c r="E26" s="103" t="n">
        <v>0.0438173893094747</v>
      </c>
      <c r="F26" s="105"/>
      <c r="G26" s="105"/>
    </row>
    <row r="27" customFormat="false" ht="14.25" hidden="false" customHeight="true" outlineLevel="0" collapsed="false">
      <c r="A27" s="96" t="s">
        <v>64</v>
      </c>
      <c r="B27" s="97" t="n">
        <v>2082</v>
      </c>
      <c r="C27" s="97" t="n">
        <v>2624</v>
      </c>
      <c r="D27" s="97" t="n">
        <v>542</v>
      </c>
      <c r="E27" s="103" t="n">
        <v>0.260326609029779</v>
      </c>
      <c r="F27" s="105"/>
      <c r="G27" s="105"/>
    </row>
    <row r="28" customFormat="false" ht="4.5" hidden="false" customHeight="true" outlineLevel="0" collapsed="false">
      <c r="F28" s="105"/>
      <c r="G28" s="105"/>
    </row>
    <row r="29" customFormat="false" ht="4.5" hidden="false" customHeight="true" outlineLevel="0" collapsed="false">
      <c r="F29" s="105"/>
      <c r="G29" s="105"/>
    </row>
    <row r="30" customFormat="false" ht="4.5" hidden="false" customHeight="true" outlineLevel="0" collapsed="false">
      <c r="A30" s="49"/>
      <c r="F30" s="105"/>
      <c r="G30" s="10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24.75" hidden="false" customHeight="true" outlineLevel="0" collapsed="false">
      <c r="A1" s="92" t="s">
        <v>160</v>
      </c>
    </row>
    <row r="2" customFormat="false" ht="14.25" hidden="false" customHeight="true" outlineLevel="0" collapsed="false">
      <c r="A2" s="104" t="s">
        <v>161</v>
      </c>
    </row>
    <row r="3" customFormat="false" ht="18" hidden="false" customHeight="true" outlineLevel="0" collapsed="false">
      <c r="A3" s="109" t="s">
        <v>162</v>
      </c>
      <c r="B3" s="109" t="s">
        <v>4</v>
      </c>
      <c r="C3" s="109" t="s">
        <v>5</v>
      </c>
      <c r="D3" s="109" t="s">
        <v>6</v>
      </c>
      <c r="E3" s="109" t="s">
        <v>7</v>
      </c>
      <c r="F3" s="109" t="s">
        <v>100</v>
      </c>
    </row>
    <row r="4" customFormat="false" ht="14.25" hidden="false" customHeight="true" outlineLevel="0" collapsed="false">
      <c r="A4" s="95" t="s">
        <v>163</v>
      </c>
      <c r="B4" s="95"/>
      <c r="C4" s="95"/>
      <c r="D4" s="95"/>
      <c r="E4" s="95"/>
      <c r="F4" s="95"/>
    </row>
    <row r="5" customFormat="false" ht="14.25" hidden="false" customHeight="true" outlineLevel="0" collapsed="false">
      <c r="A5" s="110" t="s">
        <v>164</v>
      </c>
      <c r="B5" s="111" t="n">
        <v>60849</v>
      </c>
      <c r="C5" s="111" t="n">
        <v>64294</v>
      </c>
      <c r="D5" s="111" t="n">
        <v>67922</v>
      </c>
      <c r="E5" s="111" t="n">
        <v>69077</v>
      </c>
      <c r="F5" s="111" t="n">
        <v>72059.87</v>
      </c>
      <c r="G5" s="112"/>
    </row>
    <row r="6" customFormat="false" ht="14.25" hidden="false" customHeight="true" outlineLevel="0" collapsed="false">
      <c r="A6" s="113" t="s">
        <v>80</v>
      </c>
      <c r="B6" s="112"/>
      <c r="C6" s="114" t="n">
        <v>0.0566</v>
      </c>
      <c r="D6" s="114" t="n">
        <v>0.0564</v>
      </c>
      <c r="E6" s="114" t="n">
        <v>0.017</v>
      </c>
      <c r="F6" s="114" t="n">
        <v>0.0432</v>
      </c>
      <c r="G6" s="112"/>
    </row>
    <row r="7" customFormat="false" ht="14.25" hidden="false" customHeight="true" outlineLevel="0" collapsed="false">
      <c r="A7" s="113" t="s">
        <v>165</v>
      </c>
      <c r="B7" s="115" t="n">
        <v>15971</v>
      </c>
      <c r="C7" s="115" t="n">
        <v>17176</v>
      </c>
      <c r="D7" s="115" t="n">
        <v>18552</v>
      </c>
      <c r="E7" s="115" t="n">
        <v>18815</v>
      </c>
      <c r="F7" s="115" t="n">
        <v>19368.45</v>
      </c>
      <c r="G7" s="112"/>
    </row>
    <row r="8" customFormat="false" ht="14.25" hidden="false" customHeight="true" outlineLevel="0" collapsed="false">
      <c r="A8" s="113" t="s">
        <v>42</v>
      </c>
      <c r="B8" s="114" t="n">
        <v>0.2625</v>
      </c>
      <c r="C8" s="114" t="n">
        <v>0.2671</v>
      </c>
      <c r="D8" s="114" t="n">
        <v>0.2731</v>
      </c>
      <c r="E8" s="114" t="n">
        <v>0.2724</v>
      </c>
      <c r="F8" s="114" t="n">
        <v>0.2688</v>
      </c>
      <c r="G8" s="112"/>
    </row>
    <row r="10" customFormat="false" ht="14.25" hidden="false" customHeight="true" outlineLevel="0" collapsed="false">
      <c r="A10" s="95" t="s">
        <v>166</v>
      </c>
      <c r="B10" s="95"/>
      <c r="C10" s="95"/>
      <c r="D10" s="95"/>
      <c r="E10" s="95"/>
      <c r="F10" s="95"/>
    </row>
    <row r="11" customFormat="false" ht="14.25" hidden="false" customHeight="true" outlineLevel="0" collapsed="false">
      <c r="A11" s="110" t="s">
        <v>167</v>
      </c>
      <c r="B11" s="111" t="n">
        <v>2691</v>
      </c>
      <c r="C11" s="111" t="n">
        <v>2999</v>
      </c>
      <c r="D11" s="111" t="n">
        <v>3317</v>
      </c>
      <c r="E11" s="111" t="n">
        <v>2754</v>
      </c>
      <c r="F11" s="111" t="n">
        <v>2916.04</v>
      </c>
      <c r="G11" s="112"/>
    </row>
    <row r="12" customFormat="false" ht="14.25" hidden="false" customHeight="true" outlineLevel="0" collapsed="false">
      <c r="A12" s="113" t="s">
        <v>48</v>
      </c>
      <c r="B12" s="114" t="n">
        <v>0.0442</v>
      </c>
      <c r="C12" s="114" t="n">
        <v>0.0466</v>
      </c>
      <c r="D12" s="114" t="n">
        <v>0.0488</v>
      </c>
      <c r="E12" s="114" t="n">
        <v>0.0399</v>
      </c>
      <c r="F12" s="114" t="n">
        <v>0.0405</v>
      </c>
      <c r="G12" s="112"/>
    </row>
    <row r="13" customFormat="false" ht="14.25" hidden="false" customHeight="true" outlineLevel="0" collapsed="false">
      <c r="A13" s="113" t="s">
        <v>168</v>
      </c>
      <c r="B13" s="115" t="n">
        <v>1547</v>
      </c>
      <c r="C13" s="115" t="n">
        <v>1618</v>
      </c>
      <c r="D13" s="115" t="n">
        <v>108</v>
      </c>
      <c r="E13" s="115" t="n">
        <v>963</v>
      </c>
      <c r="F13" s="115" t="n">
        <v>1445.59</v>
      </c>
      <c r="G13" s="112"/>
    </row>
    <row r="14" customFormat="false" ht="14.25" hidden="false" customHeight="true" outlineLevel="0" collapsed="false">
      <c r="A14" s="110" t="s">
        <v>169</v>
      </c>
      <c r="B14" s="111" t="n">
        <v>1547</v>
      </c>
      <c r="C14" s="111" t="n">
        <v>1618</v>
      </c>
      <c r="D14" s="111" t="n">
        <v>1399</v>
      </c>
      <c r="E14" s="111" t="n">
        <v>963</v>
      </c>
      <c r="F14" s="111" t="n">
        <v>1445.59</v>
      </c>
      <c r="G14" s="112"/>
    </row>
    <row r="16" customFormat="false" ht="14.25" hidden="false" customHeight="true" outlineLevel="0" collapsed="false">
      <c r="A16" s="95" t="s">
        <v>95</v>
      </c>
      <c r="B16" s="95"/>
      <c r="C16" s="95"/>
      <c r="D16" s="95"/>
      <c r="E16" s="95"/>
      <c r="F16" s="95"/>
    </row>
    <row r="17" customFormat="false" ht="14.25" hidden="false" customHeight="true" outlineLevel="0" collapsed="false">
      <c r="A17" s="110" t="s">
        <v>170</v>
      </c>
      <c r="B17" s="111" t="n">
        <v>3378</v>
      </c>
      <c r="C17" s="111" t="n">
        <v>4754</v>
      </c>
      <c r="D17" s="111" t="n">
        <v>4359</v>
      </c>
      <c r="E17" s="111" t="n">
        <v>4550</v>
      </c>
      <c r="F17" s="111" t="n">
        <v>4228.26</v>
      </c>
      <c r="G17" s="112"/>
    </row>
    <row r="18" customFormat="false" ht="14.25" hidden="false" customHeight="true" outlineLevel="0" collapsed="false">
      <c r="A18" s="113" t="s">
        <v>171</v>
      </c>
      <c r="B18" s="115" t="n">
        <v>921</v>
      </c>
      <c r="C18" s="115" t="n">
        <v>2910</v>
      </c>
      <c r="D18" s="115" t="n">
        <v>2082</v>
      </c>
      <c r="E18" s="115" t="n">
        <v>2624</v>
      </c>
      <c r="F18" s="115" t="n">
        <v>2128.26</v>
      </c>
      <c r="G18" s="112"/>
    </row>
    <row r="19" customFormat="false" ht="14.25" hidden="false" customHeight="true" outlineLevel="0" collapsed="false">
      <c r="A19" s="113" t="s">
        <v>146</v>
      </c>
      <c r="B19" s="114" t="n">
        <v>0.2727</v>
      </c>
      <c r="C19" s="114" t="n">
        <v>0.6121</v>
      </c>
      <c r="D19" s="114" t="n">
        <v>0.4778</v>
      </c>
      <c r="E19" s="114" t="n">
        <v>0.5767</v>
      </c>
      <c r="F19" s="114" t="n">
        <v>0.503341800173121</v>
      </c>
      <c r="G19" s="112"/>
    </row>
    <row r="21" customFormat="false" ht="14.25" hidden="false" customHeight="true" outlineLevel="0" collapsed="false">
      <c r="A21" s="95" t="s">
        <v>51</v>
      </c>
      <c r="B21" s="95"/>
      <c r="C21" s="95"/>
      <c r="D21" s="95"/>
      <c r="E21" s="95"/>
      <c r="F21" s="95"/>
    </row>
    <row r="22" customFormat="false" ht="14.25" hidden="false" customHeight="true" outlineLevel="0" collapsed="false">
      <c r="A22" s="113" t="s">
        <v>172</v>
      </c>
      <c r="B22" s="115" t="n">
        <v>33273</v>
      </c>
      <c r="C22" s="115" t="n">
        <v>33648</v>
      </c>
      <c r="D22" s="115" t="n">
        <v>33936</v>
      </c>
      <c r="E22" s="115" t="n">
        <v>33829</v>
      </c>
      <c r="F22" s="115" t="n">
        <v>34277.79</v>
      </c>
      <c r="G22" s="112"/>
    </row>
    <row r="23" customFormat="false" ht="14.25" hidden="false" customHeight="true" outlineLevel="0" collapsed="false">
      <c r="A23" s="113" t="s">
        <v>173</v>
      </c>
      <c r="B23" s="115" t="n">
        <v>6104</v>
      </c>
      <c r="C23" s="115" t="n">
        <v>6565</v>
      </c>
      <c r="D23" s="115" t="n">
        <v>5570</v>
      </c>
      <c r="E23" s="115" t="n">
        <v>4962</v>
      </c>
      <c r="F23" s="115" t="n">
        <v>4807.71</v>
      </c>
      <c r="G23" s="112"/>
    </row>
    <row r="24" customFormat="false" ht="14.25" hidden="false" customHeight="true" outlineLevel="0" collapsed="false">
      <c r="A24" s="113" t="s">
        <v>174</v>
      </c>
      <c r="B24" s="116" t="n">
        <v>4.451</v>
      </c>
      <c r="C24" s="116" t="n">
        <v>4.125</v>
      </c>
      <c r="D24" s="116" t="n">
        <v>5.093</v>
      </c>
      <c r="E24" s="116" t="n">
        <v>5.818</v>
      </c>
      <c r="F24" s="116" t="n">
        <v>6.13</v>
      </c>
      <c r="G24" s="112"/>
    </row>
    <row r="25" customFormat="false" ht="14.25" hidden="false" customHeight="true" outlineLevel="0" collapsed="false">
      <c r="A25" s="113" t="s">
        <v>135</v>
      </c>
      <c r="B25" s="117" t="n">
        <v>0.568</v>
      </c>
      <c r="C25" s="117" t="n">
        <v>0.536</v>
      </c>
      <c r="D25" s="117" t="n">
        <v>0.545</v>
      </c>
      <c r="E25" s="117" t="n">
        <v>0.569</v>
      </c>
      <c r="F25" s="117" t="n">
        <v>0.569</v>
      </c>
      <c r="G25" s="112"/>
    </row>
    <row r="28" customFormat="false" ht="14.25" hidden="false" customHeight="true" outlineLevel="0" collapsed="false">
      <c r="A28" s="118" t="s">
        <v>175</v>
      </c>
    </row>
    <row r="29" customFormat="false" ht="14.25" hidden="false" customHeight="true" outlineLevel="0" collapsed="false">
      <c r="A29" s="119" t="s">
        <v>162</v>
      </c>
      <c r="B29" s="119" t="s">
        <v>77</v>
      </c>
      <c r="C29" s="119" t="s">
        <v>176</v>
      </c>
      <c r="D29" s="119" t="s">
        <v>78</v>
      </c>
      <c r="E29" s="119" t="s">
        <v>177</v>
      </c>
    </row>
    <row r="30" customFormat="false" ht="14.25" hidden="false" customHeight="true" outlineLevel="0" collapsed="false">
      <c r="A30" s="120" t="s">
        <v>80</v>
      </c>
      <c r="B30" s="121" t="s">
        <v>178</v>
      </c>
      <c r="C30" s="121" t="s">
        <v>179</v>
      </c>
      <c r="D30" s="121" t="s">
        <v>180</v>
      </c>
      <c r="E30" s="121" t="s">
        <v>181</v>
      </c>
    </row>
    <row r="31" customFormat="false" ht="14.25" hidden="false" customHeight="true" outlineLevel="0" collapsed="false">
      <c r="A31" s="120" t="s">
        <v>42</v>
      </c>
      <c r="B31" s="121" t="s">
        <v>182</v>
      </c>
      <c r="C31" s="121" t="s">
        <v>183</v>
      </c>
      <c r="D31" s="121" t="s">
        <v>184</v>
      </c>
      <c r="E31" s="121" t="s">
        <v>185</v>
      </c>
    </row>
    <row r="32" customFormat="false" ht="14.25" hidden="false" customHeight="true" outlineLevel="0" collapsed="false">
      <c r="A32" s="120" t="s">
        <v>45</v>
      </c>
      <c r="B32" s="121" t="s">
        <v>186</v>
      </c>
      <c r="C32" s="121" t="s">
        <v>187</v>
      </c>
      <c r="D32" s="121" t="s">
        <v>188</v>
      </c>
      <c r="E32" s="121" t="s">
        <v>185</v>
      </c>
    </row>
    <row r="33" customFormat="false" ht="14.25" hidden="false" customHeight="true" outlineLevel="0" collapsed="false">
      <c r="A33" s="120" t="s">
        <v>31</v>
      </c>
      <c r="B33" s="121" t="s">
        <v>189</v>
      </c>
      <c r="C33" s="121" t="s">
        <v>190</v>
      </c>
      <c r="D33" s="121" t="s">
        <v>191</v>
      </c>
      <c r="E33" s="121" t="s">
        <v>192</v>
      </c>
    </row>
    <row r="34" customFormat="false" ht="14.25" hidden="false" customHeight="true" outlineLevel="0" collapsed="false">
      <c r="A34" s="120" t="s">
        <v>193</v>
      </c>
      <c r="B34" s="121" t="s">
        <v>194</v>
      </c>
      <c r="C34" s="121" t="s">
        <v>195</v>
      </c>
      <c r="D34" s="121" t="s">
        <v>196</v>
      </c>
      <c r="E34" s="121" t="s">
        <v>197</v>
      </c>
    </row>
    <row r="36" customFormat="false" ht="30" hidden="false" customHeight="true" outlineLevel="0" collapsed="false">
      <c r="A36" s="1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.11"/>
    <col collapsed="false" customWidth="true" hidden="false" outlineLevel="0" max="3" min="3" style="0" width="12.77"/>
    <col collapsed="false" customWidth="true" hidden="false" outlineLevel="0" max="4" min="4" style="0" width="15.66"/>
    <col collapsed="false" customWidth="true" hidden="false" outlineLevel="0" max="5" min="5" style="0" width="9"/>
    <col collapsed="false" customWidth="true" hidden="false" outlineLevel="0" max="6" min="6" style="0" width="4.56"/>
    <col collapsed="false" customWidth="true" hidden="false" outlineLevel="0" max="7" min="7" style="0" width="14.11"/>
    <col collapsed="false" customWidth="true" hidden="false" outlineLevel="0" max="8" min="8" style="0" width="11.11"/>
    <col collapsed="false" customWidth="true" hidden="false" outlineLevel="0" max="9" min="9" style="0" width="48.11"/>
  </cols>
  <sheetData>
    <row r="1" customFormat="false" ht="19.5" hidden="false" customHeight="true" outlineLevel="0" collapsed="false">
      <c r="A1" s="123" t="s">
        <v>198</v>
      </c>
      <c r="B1" s="123" t="s">
        <v>162</v>
      </c>
      <c r="C1" s="123" t="s">
        <v>199</v>
      </c>
      <c r="D1" s="123" t="s">
        <v>200</v>
      </c>
      <c r="E1" s="123" t="s">
        <v>201</v>
      </c>
      <c r="F1" s="123" t="s">
        <v>3</v>
      </c>
      <c r="G1" s="123" t="s">
        <v>202</v>
      </c>
      <c r="H1" s="123" t="s">
        <v>203</v>
      </c>
      <c r="I1" s="124" t="s">
        <v>204</v>
      </c>
    </row>
    <row r="2" customFormat="false" ht="15" hidden="false" customHeight="true" outlineLevel="0" collapsed="false">
      <c r="A2" s="125" t="s">
        <v>4</v>
      </c>
      <c r="B2" s="126" t="s">
        <v>10</v>
      </c>
      <c r="C2" s="125" t="s">
        <v>205</v>
      </c>
      <c r="D2" s="125" t="s">
        <v>206</v>
      </c>
      <c r="E2" s="125" t="n">
        <v>60849</v>
      </c>
      <c r="F2" s="125" t="s">
        <v>11</v>
      </c>
      <c r="G2" s="125" t="s">
        <v>207</v>
      </c>
      <c r="H2" s="125" t="s">
        <v>208</v>
      </c>
      <c r="I2" s="126" t="s">
        <v>209</v>
      </c>
    </row>
    <row r="3" customFormat="false" ht="15" hidden="false" customHeight="true" outlineLevel="0" collapsed="false">
      <c r="A3" s="125" t="s">
        <v>5</v>
      </c>
      <c r="B3" s="126" t="s">
        <v>10</v>
      </c>
      <c r="C3" s="125" t="s">
        <v>205</v>
      </c>
      <c r="D3" s="125" t="s">
        <v>206</v>
      </c>
      <c r="E3" s="125" t="n">
        <v>64294</v>
      </c>
      <c r="F3" s="125" t="s">
        <v>11</v>
      </c>
      <c r="G3" s="125" t="s">
        <v>207</v>
      </c>
      <c r="H3" s="125" t="s">
        <v>208</v>
      </c>
      <c r="I3" s="126" t="s">
        <v>210</v>
      </c>
    </row>
    <row r="4" customFormat="false" ht="15" hidden="false" customHeight="true" outlineLevel="0" collapsed="false">
      <c r="A4" s="125" t="s">
        <v>6</v>
      </c>
      <c r="B4" s="126" t="s">
        <v>10</v>
      </c>
      <c r="C4" s="125" t="s">
        <v>205</v>
      </c>
      <c r="D4" s="125" t="s">
        <v>206</v>
      </c>
      <c r="E4" s="125" t="n">
        <v>67922</v>
      </c>
      <c r="F4" s="125" t="s">
        <v>11</v>
      </c>
      <c r="G4" s="125" t="s">
        <v>207</v>
      </c>
      <c r="H4" s="125" t="s">
        <v>208</v>
      </c>
      <c r="I4" s="126" t="s">
        <v>211</v>
      </c>
    </row>
    <row r="5" customFormat="false" ht="15" hidden="false" customHeight="true" outlineLevel="0" collapsed="false">
      <c r="A5" s="125" t="s">
        <v>7</v>
      </c>
      <c r="B5" s="126" t="s">
        <v>10</v>
      </c>
      <c r="C5" s="125" t="s">
        <v>205</v>
      </c>
      <c r="D5" s="125" t="s">
        <v>206</v>
      </c>
      <c r="E5" s="125" t="n">
        <v>69077</v>
      </c>
      <c r="F5" s="125" t="s">
        <v>11</v>
      </c>
      <c r="G5" s="125" t="s">
        <v>207</v>
      </c>
      <c r="H5" s="125" t="s">
        <v>208</v>
      </c>
      <c r="I5" s="126" t="s">
        <v>212</v>
      </c>
    </row>
    <row r="6" customFormat="false" ht="15" hidden="false" customHeight="true" outlineLevel="0" collapsed="false">
      <c r="A6" s="125" t="s">
        <v>100</v>
      </c>
      <c r="B6" s="126" t="s">
        <v>10</v>
      </c>
      <c r="C6" s="125" t="s">
        <v>205</v>
      </c>
      <c r="D6" s="125" t="s">
        <v>206</v>
      </c>
      <c r="E6" s="125" t="n">
        <v>72059.87</v>
      </c>
      <c r="F6" s="125" t="s">
        <v>11</v>
      </c>
      <c r="G6" s="125" t="s">
        <v>207</v>
      </c>
      <c r="H6" s="125" t="s">
        <v>213</v>
      </c>
      <c r="I6" s="126" t="s">
        <v>214</v>
      </c>
    </row>
    <row r="7" customFormat="false" ht="15" hidden="false" customHeight="true" outlineLevel="0" collapsed="false">
      <c r="A7" s="125" t="s">
        <v>4</v>
      </c>
      <c r="B7" s="126" t="s">
        <v>13</v>
      </c>
      <c r="C7" s="125" t="s">
        <v>205</v>
      </c>
      <c r="D7" s="125" t="s">
        <v>206</v>
      </c>
      <c r="E7" s="125" t="n">
        <v>44878</v>
      </c>
      <c r="F7" s="125" t="s">
        <v>11</v>
      </c>
      <c r="G7" s="125" t="s">
        <v>207</v>
      </c>
      <c r="H7" s="125" t="s">
        <v>208</v>
      </c>
      <c r="I7" s="126" t="s">
        <v>215</v>
      </c>
    </row>
    <row r="8" customFormat="false" ht="15" hidden="false" customHeight="true" outlineLevel="0" collapsed="false">
      <c r="A8" s="125" t="s">
        <v>5</v>
      </c>
      <c r="B8" s="126" t="s">
        <v>13</v>
      </c>
      <c r="C8" s="125" t="s">
        <v>205</v>
      </c>
      <c r="D8" s="125" t="s">
        <v>206</v>
      </c>
      <c r="E8" s="125" t="n">
        <v>47118</v>
      </c>
      <c r="F8" s="125" t="s">
        <v>11</v>
      </c>
      <c r="G8" s="125" t="s">
        <v>207</v>
      </c>
      <c r="H8" s="125" t="s">
        <v>208</v>
      </c>
      <c r="I8" s="126" t="s">
        <v>216</v>
      </c>
    </row>
    <row r="9" customFormat="false" ht="15" hidden="false" customHeight="true" outlineLevel="0" collapsed="false">
      <c r="A9" s="125" t="s">
        <v>6</v>
      </c>
      <c r="B9" s="126" t="s">
        <v>13</v>
      </c>
      <c r="C9" s="125" t="s">
        <v>205</v>
      </c>
      <c r="D9" s="125" t="s">
        <v>206</v>
      </c>
      <c r="E9" s="125" t="n">
        <v>49370</v>
      </c>
      <c r="F9" s="125" t="s">
        <v>11</v>
      </c>
      <c r="G9" s="125" t="s">
        <v>207</v>
      </c>
      <c r="H9" s="125" t="s">
        <v>208</v>
      </c>
      <c r="I9" s="126" t="s">
        <v>217</v>
      </c>
    </row>
    <row r="10" customFormat="false" ht="15" hidden="false" customHeight="true" outlineLevel="0" collapsed="false">
      <c r="A10" s="125" t="s">
        <v>7</v>
      </c>
      <c r="B10" s="126" t="s">
        <v>13</v>
      </c>
      <c r="C10" s="125" t="s">
        <v>205</v>
      </c>
      <c r="D10" s="125" t="s">
        <v>206</v>
      </c>
      <c r="E10" s="125" t="n">
        <v>50262</v>
      </c>
      <c r="F10" s="125" t="s">
        <v>11</v>
      </c>
      <c r="G10" s="125" t="s">
        <v>207</v>
      </c>
      <c r="H10" s="125" t="s">
        <v>208</v>
      </c>
      <c r="I10" s="126" t="s">
        <v>218</v>
      </c>
    </row>
    <row r="11" customFormat="false" ht="15" hidden="false" customHeight="true" outlineLevel="0" collapsed="false">
      <c r="A11" s="125" t="s">
        <v>100</v>
      </c>
      <c r="B11" s="126" t="s">
        <v>13</v>
      </c>
      <c r="C11" s="125" t="s">
        <v>205</v>
      </c>
      <c r="D11" s="125" t="s">
        <v>206</v>
      </c>
      <c r="E11" s="125" t="n">
        <v>52691.42</v>
      </c>
      <c r="F11" s="125" t="s">
        <v>11</v>
      </c>
      <c r="G11" s="125" t="s">
        <v>207</v>
      </c>
      <c r="H11" s="125" t="s">
        <v>213</v>
      </c>
      <c r="I11" s="126" t="s">
        <v>219</v>
      </c>
    </row>
    <row r="12" customFormat="false" ht="15" hidden="false" customHeight="true" outlineLevel="0" collapsed="false">
      <c r="A12" s="125" t="s">
        <v>4</v>
      </c>
      <c r="B12" s="126" t="s">
        <v>15</v>
      </c>
      <c r="C12" s="125" t="s">
        <v>205</v>
      </c>
      <c r="D12" s="125" t="s">
        <v>206</v>
      </c>
      <c r="E12" s="125" t="n">
        <v>15971</v>
      </c>
      <c r="F12" s="125" t="s">
        <v>11</v>
      </c>
      <c r="G12" s="125" t="s">
        <v>207</v>
      </c>
      <c r="H12" s="125" t="s">
        <v>208</v>
      </c>
      <c r="I12" s="126" t="s">
        <v>220</v>
      </c>
    </row>
    <row r="13" customFormat="false" ht="15" hidden="false" customHeight="true" outlineLevel="0" collapsed="false">
      <c r="A13" s="125" t="s">
        <v>5</v>
      </c>
      <c r="B13" s="126" t="s">
        <v>15</v>
      </c>
      <c r="C13" s="125" t="s">
        <v>205</v>
      </c>
      <c r="D13" s="125" t="s">
        <v>206</v>
      </c>
      <c r="E13" s="125" t="n">
        <v>17176</v>
      </c>
      <c r="F13" s="125" t="s">
        <v>11</v>
      </c>
      <c r="G13" s="125" t="s">
        <v>207</v>
      </c>
      <c r="H13" s="125" t="s">
        <v>208</v>
      </c>
      <c r="I13" s="126" t="s">
        <v>221</v>
      </c>
    </row>
    <row r="14" customFormat="false" ht="15" hidden="false" customHeight="true" outlineLevel="0" collapsed="false">
      <c r="A14" s="125" t="s">
        <v>6</v>
      </c>
      <c r="B14" s="126" t="s">
        <v>15</v>
      </c>
      <c r="C14" s="125" t="s">
        <v>205</v>
      </c>
      <c r="D14" s="125" t="s">
        <v>206</v>
      </c>
      <c r="E14" s="125" t="n">
        <v>18552</v>
      </c>
      <c r="F14" s="125" t="s">
        <v>11</v>
      </c>
      <c r="G14" s="125" t="s">
        <v>207</v>
      </c>
      <c r="H14" s="125" t="s">
        <v>208</v>
      </c>
      <c r="I14" s="126" t="s">
        <v>222</v>
      </c>
    </row>
    <row r="15" customFormat="false" ht="15" hidden="false" customHeight="true" outlineLevel="0" collapsed="false">
      <c r="A15" s="125" t="s">
        <v>7</v>
      </c>
      <c r="B15" s="126" t="s">
        <v>15</v>
      </c>
      <c r="C15" s="125" t="s">
        <v>205</v>
      </c>
      <c r="D15" s="125" t="s">
        <v>206</v>
      </c>
      <c r="E15" s="125" t="n">
        <v>18815</v>
      </c>
      <c r="F15" s="125" t="s">
        <v>11</v>
      </c>
      <c r="G15" s="125" t="s">
        <v>207</v>
      </c>
      <c r="H15" s="125" t="s">
        <v>208</v>
      </c>
      <c r="I15" s="126" t="s">
        <v>223</v>
      </c>
    </row>
    <row r="16" customFormat="false" ht="15" hidden="false" customHeight="true" outlineLevel="0" collapsed="false">
      <c r="A16" s="125" t="s">
        <v>100</v>
      </c>
      <c r="B16" s="126" t="s">
        <v>15</v>
      </c>
      <c r="C16" s="125" t="s">
        <v>205</v>
      </c>
      <c r="D16" s="125" t="s">
        <v>206</v>
      </c>
      <c r="E16" s="125" t="n">
        <v>19368.45</v>
      </c>
      <c r="F16" s="125" t="s">
        <v>11</v>
      </c>
      <c r="G16" s="125" t="s">
        <v>207</v>
      </c>
      <c r="H16" s="125" t="s">
        <v>213</v>
      </c>
      <c r="I16" s="126" t="s">
        <v>224</v>
      </c>
    </row>
    <row r="17" customFormat="false" ht="15" hidden="false" customHeight="true" outlineLevel="0" collapsed="false">
      <c r="A17" s="125" t="s">
        <v>4</v>
      </c>
      <c r="B17" s="126" t="s">
        <v>225</v>
      </c>
      <c r="C17" s="125" t="s">
        <v>205</v>
      </c>
      <c r="D17" s="125" t="s">
        <v>206</v>
      </c>
      <c r="E17" s="125" t="n">
        <v>13577</v>
      </c>
      <c r="F17" s="125" t="s">
        <v>11</v>
      </c>
      <c r="G17" s="125" t="s">
        <v>207</v>
      </c>
      <c r="H17" s="125" t="s">
        <v>208</v>
      </c>
      <c r="I17" s="126" t="s">
        <v>226</v>
      </c>
    </row>
    <row r="18" customFormat="false" ht="15" hidden="false" customHeight="true" outlineLevel="0" collapsed="false">
      <c r="A18" s="125" t="s">
        <v>5</v>
      </c>
      <c r="B18" s="126" t="s">
        <v>225</v>
      </c>
      <c r="C18" s="125" t="s">
        <v>205</v>
      </c>
      <c r="D18" s="125" t="s">
        <v>206</v>
      </c>
      <c r="E18" s="125" t="n">
        <v>14454</v>
      </c>
      <c r="F18" s="125" t="s">
        <v>11</v>
      </c>
      <c r="G18" s="125" t="s">
        <v>207</v>
      </c>
      <c r="H18" s="125" t="s">
        <v>208</v>
      </c>
      <c r="I18" s="126" t="s">
        <v>227</v>
      </c>
    </row>
    <row r="19" customFormat="false" ht="15" hidden="false" customHeight="true" outlineLevel="0" collapsed="false">
      <c r="A19" s="125" t="s">
        <v>6</v>
      </c>
      <c r="B19" s="126" t="s">
        <v>225</v>
      </c>
      <c r="C19" s="125" t="s">
        <v>205</v>
      </c>
      <c r="D19" s="125" t="s">
        <v>206</v>
      </c>
      <c r="E19" s="125" t="n">
        <v>17246</v>
      </c>
      <c r="F19" s="125" t="s">
        <v>11</v>
      </c>
      <c r="G19" s="125" t="s">
        <v>207</v>
      </c>
      <c r="H19" s="125" t="s">
        <v>208</v>
      </c>
      <c r="I19" s="126" t="s">
        <v>228</v>
      </c>
    </row>
    <row r="20" customFormat="false" ht="15" hidden="false" customHeight="true" outlineLevel="0" collapsed="false">
      <c r="A20" s="125" t="s">
        <v>7</v>
      </c>
      <c r="B20" s="126" t="s">
        <v>225</v>
      </c>
      <c r="C20" s="125" t="s">
        <v>205</v>
      </c>
      <c r="D20" s="125" t="s">
        <v>206</v>
      </c>
      <c r="E20" s="125" t="n">
        <v>16903</v>
      </c>
      <c r="F20" s="125" t="s">
        <v>11</v>
      </c>
      <c r="G20" s="125" t="s">
        <v>207</v>
      </c>
      <c r="H20" s="125" t="s">
        <v>208</v>
      </c>
      <c r="I20" s="126" t="s">
        <v>229</v>
      </c>
    </row>
    <row r="21" customFormat="false" ht="15" hidden="false" customHeight="true" outlineLevel="0" collapsed="false">
      <c r="A21" s="125" t="s">
        <v>100</v>
      </c>
      <c r="B21" s="126" t="s">
        <v>225</v>
      </c>
      <c r="C21" s="125" t="s">
        <v>205</v>
      </c>
      <c r="D21" s="125" t="s">
        <v>206</v>
      </c>
      <c r="E21" s="125" t="n">
        <v>16452.41</v>
      </c>
      <c r="F21" s="125" t="s">
        <v>11</v>
      </c>
      <c r="G21" s="125" t="s">
        <v>207</v>
      </c>
      <c r="H21" s="125" t="s">
        <v>213</v>
      </c>
      <c r="I21" s="126" t="s">
        <v>230</v>
      </c>
    </row>
    <row r="22" customFormat="false" ht="15" hidden="false" customHeight="true" outlineLevel="0" collapsed="false">
      <c r="A22" s="125" t="s">
        <v>4</v>
      </c>
      <c r="B22" s="126" t="s">
        <v>231</v>
      </c>
      <c r="C22" s="125" t="s">
        <v>205</v>
      </c>
      <c r="D22" s="125" t="s">
        <v>206</v>
      </c>
      <c r="E22" s="125" t="n">
        <v>0</v>
      </c>
      <c r="F22" s="125" t="s">
        <v>11</v>
      </c>
      <c r="G22" s="125" t="s">
        <v>207</v>
      </c>
      <c r="H22" s="125" t="s">
        <v>208</v>
      </c>
      <c r="I22" s="126" t="s">
        <v>232</v>
      </c>
    </row>
    <row r="23" customFormat="false" ht="15" hidden="false" customHeight="true" outlineLevel="0" collapsed="false">
      <c r="A23" s="125" t="s">
        <v>5</v>
      </c>
      <c r="B23" s="126" t="s">
        <v>231</v>
      </c>
      <c r="C23" s="125" t="s">
        <v>205</v>
      </c>
      <c r="D23" s="125" t="s">
        <v>206</v>
      </c>
      <c r="E23" s="125" t="n">
        <v>0</v>
      </c>
      <c r="F23" s="125" t="s">
        <v>11</v>
      </c>
      <c r="G23" s="125" t="s">
        <v>207</v>
      </c>
      <c r="H23" s="125" t="s">
        <v>208</v>
      </c>
      <c r="I23" s="126" t="s">
        <v>232</v>
      </c>
    </row>
    <row r="24" customFormat="false" ht="15" hidden="false" customHeight="true" outlineLevel="0" collapsed="false">
      <c r="A24" s="125" t="s">
        <v>6</v>
      </c>
      <c r="B24" s="126" t="s">
        <v>231</v>
      </c>
      <c r="C24" s="125" t="s">
        <v>205</v>
      </c>
      <c r="D24" s="125" t="s">
        <v>206</v>
      </c>
      <c r="E24" s="125" t="n">
        <v>1701</v>
      </c>
      <c r="F24" s="125" t="s">
        <v>11</v>
      </c>
      <c r="G24" s="125" t="s">
        <v>207</v>
      </c>
      <c r="H24" s="125" t="s">
        <v>208</v>
      </c>
      <c r="I24" s="126" t="s">
        <v>233</v>
      </c>
    </row>
    <row r="25" customFormat="false" ht="15" hidden="false" customHeight="true" outlineLevel="0" collapsed="false">
      <c r="A25" s="125" t="s">
        <v>7</v>
      </c>
      <c r="B25" s="126" t="s">
        <v>231</v>
      </c>
      <c r="C25" s="125" t="s">
        <v>205</v>
      </c>
      <c r="D25" s="125" t="s">
        <v>206</v>
      </c>
      <c r="E25" s="125" t="n">
        <v>569</v>
      </c>
      <c r="F25" s="125" t="s">
        <v>11</v>
      </c>
      <c r="G25" s="125" t="s">
        <v>207</v>
      </c>
      <c r="H25" s="125" t="s">
        <v>208</v>
      </c>
      <c r="I25" s="126" t="s">
        <v>234</v>
      </c>
    </row>
    <row r="26" customFormat="false" ht="15" hidden="false" customHeight="true" outlineLevel="0" collapsed="false">
      <c r="A26" s="125" t="s">
        <v>100</v>
      </c>
      <c r="B26" s="126" t="s">
        <v>231</v>
      </c>
      <c r="C26" s="125" t="s">
        <v>205</v>
      </c>
      <c r="D26" s="125" t="s">
        <v>206</v>
      </c>
      <c r="E26" s="125" t="n">
        <v>0</v>
      </c>
      <c r="F26" s="125" t="s">
        <v>11</v>
      </c>
      <c r="G26" s="125" t="s">
        <v>207</v>
      </c>
      <c r="H26" s="125" t="s">
        <v>213</v>
      </c>
      <c r="I26" s="126" t="s">
        <v>232</v>
      </c>
    </row>
    <row r="27" customFormat="false" ht="15" hidden="false" customHeight="true" outlineLevel="0" collapsed="false">
      <c r="A27" s="125" t="s">
        <v>4</v>
      </c>
      <c r="B27" s="126" t="s">
        <v>155</v>
      </c>
      <c r="C27" s="125" t="s">
        <v>205</v>
      </c>
      <c r="D27" s="125" t="s">
        <v>206</v>
      </c>
      <c r="E27" s="125" t="n">
        <v>13577</v>
      </c>
      <c r="F27" s="125" t="s">
        <v>11</v>
      </c>
      <c r="G27" s="125" t="s">
        <v>207</v>
      </c>
      <c r="H27" s="125" t="s">
        <v>208</v>
      </c>
      <c r="I27" s="126" t="s">
        <v>226</v>
      </c>
    </row>
    <row r="28" customFormat="false" ht="15" hidden="false" customHeight="true" outlineLevel="0" collapsed="false">
      <c r="A28" s="125" t="s">
        <v>5</v>
      </c>
      <c r="B28" s="126" t="s">
        <v>155</v>
      </c>
      <c r="C28" s="125" t="s">
        <v>205</v>
      </c>
      <c r="D28" s="125" t="s">
        <v>206</v>
      </c>
      <c r="E28" s="125" t="n">
        <v>14454</v>
      </c>
      <c r="F28" s="125" t="s">
        <v>11</v>
      </c>
      <c r="G28" s="125" t="s">
        <v>207</v>
      </c>
      <c r="H28" s="125" t="s">
        <v>208</v>
      </c>
      <c r="I28" s="126" t="s">
        <v>227</v>
      </c>
    </row>
    <row r="29" customFormat="false" ht="15" hidden="false" customHeight="true" outlineLevel="0" collapsed="false">
      <c r="A29" s="125" t="s">
        <v>6</v>
      </c>
      <c r="B29" s="126" t="s">
        <v>155</v>
      </c>
      <c r="C29" s="125" t="s">
        <v>205</v>
      </c>
      <c r="D29" s="125" t="s">
        <v>206</v>
      </c>
      <c r="E29" s="125" t="n">
        <v>15545</v>
      </c>
      <c r="F29" s="125" t="s">
        <v>11</v>
      </c>
      <c r="G29" s="125" t="s">
        <v>207</v>
      </c>
      <c r="H29" s="125" t="s">
        <v>208</v>
      </c>
      <c r="I29" s="126" t="s">
        <v>235</v>
      </c>
    </row>
    <row r="30" customFormat="false" ht="15" hidden="false" customHeight="true" outlineLevel="0" collapsed="false">
      <c r="A30" s="125" t="s">
        <v>7</v>
      </c>
      <c r="B30" s="126" t="s">
        <v>155</v>
      </c>
      <c r="C30" s="125" t="s">
        <v>205</v>
      </c>
      <c r="D30" s="125" t="s">
        <v>206</v>
      </c>
      <c r="E30" s="125" t="n">
        <v>16334</v>
      </c>
      <c r="F30" s="125" t="s">
        <v>11</v>
      </c>
      <c r="G30" s="125" t="s">
        <v>207</v>
      </c>
      <c r="H30" s="125" t="s">
        <v>208</v>
      </c>
      <c r="I30" s="126" t="s">
        <v>236</v>
      </c>
    </row>
    <row r="31" customFormat="false" ht="15" hidden="false" customHeight="true" outlineLevel="0" collapsed="false">
      <c r="A31" s="125" t="s">
        <v>100</v>
      </c>
      <c r="B31" s="126" t="s">
        <v>155</v>
      </c>
      <c r="C31" s="125" t="s">
        <v>205</v>
      </c>
      <c r="D31" s="125" t="s">
        <v>206</v>
      </c>
      <c r="E31" s="125" t="n">
        <v>16452.41</v>
      </c>
      <c r="F31" s="125" t="s">
        <v>11</v>
      </c>
      <c r="G31" s="125" t="s">
        <v>207</v>
      </c>
      <c r="H31" s="125" t="s">
        <v>213</v>
      </c>
      <c r="I31" s="126" t="s">
        <v>230</v>
      </c>
    </row>
    <row r="32" customFormat="false" ht="15" hidden="false" customHeight="true" outlineLevel="0" collapsed="false">
      <c r="A32" s="125" t="s">
        <v>4</v>
      </c>
      <c r="B32" s="126" t="s">
        <v>237</v>
      </c>
      <c r="C32" s="125" t="s">
        <v>205</v>
      </c>
      <c r="D32" s="125" t="s">
        <v>206</v>
      </c>
      <c r="E32" s="125" t="n">
        <v>2691</v>
      </c>
      <c r="F32" s="125" t="s">
        <v>11</v>
      </c>
      <c r="G32" s="125" t="s">
        <v>207</v>
      </c>
      <c r="H32" s="125" t="s">
        <v>208</v>
      </c>
      <c r="I32" s="126" t="s">
        <v>238</v>
      </c>
    </row>
    <row r="33" customFormat="false" ht="15" hidden="false" customHeight="true" outlineLevel="0" collapsed="false">
      <c r="A33" s="125" t="s">
        <v>5</v>
      </c>
      <c r="B33" s="126" t="s">
        <v>237</v>
      </c>
      <c r="C33" s="125" t="s">
        <v>205</v>
      </c>
      <c r="D33" s="125" t="s">
        <v>206</v>
      </c>
      <c r="E33" s="125" t="n">
        <v>2999</v>
      </c>
      <c r="F33" s="125" t="s">
        <v>11</v>
      </c>
      <c r="G33" s="125" t="s">
        <v>207</v>
      </c>
      <c r="H33" s="125" t="s">
        <v>208</v>
      </c>
      <c r="I33" s="126" t="s">
        <v>239</v>
      </c>
    </row>
    <row r="34" customFormat="false" ht="15" hidden="false" customHeight="true" outlineLevel="0" collapsed="false">
      <c r="A34" s="125" t="s">
        <v>6</v>
      </c>
      <c r="B34" s="126" t="s">
        <v>237</v>
      </c>
      <c r="C34" s="125" t="s">
        <v>205</v>
      </c>
      <c r="D34" s="125" t="s">
        <v>206</v>
      </c>
      <c r="E34" s="125" t="n">
        <v>1616</v>
      </c>
      <c r="F34" s="125" t="s">
        <v>11</v>
      </c>
      <c r="G34" s="125" t="s">
        <v>207</v>
      </c>
      <c r="H34" s="125" t="s">
        <v>208</v>
      </c>
      <c r="I34" s="126" t="s">
        <v>240</v>
      </c>
    </row>
    <row r="35" customFormat="false" ht="15" hidden="false" customHeight="true" outlineLevel="0" collapsed="false">
      <c r="A35" s="125" t="s">
        <v>7</v>
      </c>
      <c r="B35" s="126" t="s">
        <v>237</v>
      </c>
      <c r="C35" s="125" t="s">
        <v>205</v>
      </c>
      <c r="D35" s="125" t="s">
        <v>206</v>
      </c>
      <c r="E35" s="125" t="n">
        <v>2185</v>
      </c>
      <c r="F35" s="125" t="s">
        <v>11</v>
      </c>
      <c r="G35" s="125" t="s">
        <v>207</v>
      </c>
      <c r="H35" s="125" t="s">
        <v>208</v>
      </c>
      <c r="I35" s="126" t="s">
        <v>241</v>
      </c>
    </row>
    <row r="36" customFormat="false" ht="15" hidden="false" customHeight="true" outlineLevel="0" collapsed="false">
      <c r="A36" s="125" t="s">
        <v>100</v>
      </c>
      <c r="B36" s="126" t="s">
        <v>237</v>
      </c>
      <c r="C36" s="125" t="s">
        <v>205</v>
      </c>
      <c r="D36" s="125" t="s">
        <v>206</v>
      </c>
      <c r="E36" s="125" t="n">
        <v>2916.04</v>
      </c>
      <c r="F36" s="125" t="s">
        <v>11</v>
      </c>
      <c r="G36" s="125" t="s">
        <v>207</v>
      </c>
      <c r="H36" s="125" t="s">
        <v>213</v>
      </c>
      <c r="I36" s="126" t="s">
        <v>242</v>
      </c>
    </row>
    <row r="37" customFormat="false" ht="15" hidden="false" customHeight="true" outlineLevel="0" collapsed="false">
      <c r="A37" s="125" t="s">
        <v>4</v>
      </c>
      <c r="B37" s="126" t="s">
        <v>157</v>
      </c>
      <c r="C37" s="125" t="s">
        <v>205</v>
      </c>
      <c r="D37" s="125" t="s">
        <v>206</v>
      </c>
      <c r="E37" s="125" t="n">
        <v>2691</v>
      </c>
      <c r="F37" s="125" t="s">
        <v>11</v>
      </c>
      <c r="G37" s="125" t="s">
        <v>207</v>
      </c>
      <c r="H37" s="125" t="s">
        <v>208</v>
      </c>
      <c r="I37" s="126" t="s">
        <v>238</v>
      </c>
    </row>
    <row r="38" customFormat="false" ht="15" hidden="false" customHeight="true" outlineLevel="0" collapsed="false">
      <c r="A38" s="125" t="s">
        <v>5</v>
      </c>
      <c r="B38" s="126" t="s">
        <v>157</v>
      </c>
      <c r="C38" s="125" t="s">
        <v>205</v>
      </c>
      <c r="D38" s="125" t="s">
        <v>206</v>
      </c>
      <c r="E38" s="125" t="n">
        <v>2999</v>
      </c>
      <c r="F38" s="125" t="s">
        <v>11</v>
      </c>
      <c r="G38" s="125" t="s">
        <v>207</v>
      </c>
      <c r="H38" s="125" t="s">
        <v>208</v>
      </c>
      <c r="I38" s="126" t="s">
        <v>239</v>
      </c>
    </row>
    <row r="39" customFormat="false" ht="15" hidden="false" customHeight="true" outlineLevel="0" collapsed="false">
      <c r="A39" s="125" t="s">
        <v>6</v>
      </c>
      <c r="B39" s="126" t="s">
        <v>157</v>
      </c>
      <c r="C39" s="125" t="s">
        <v>205</v>
      </c>
      <c r="D39" s="125" t="s">
        <v>206</v>
      </c>
      <c r="E39" s="125" t="n">
        <v>3317</v>
      </c>
      <c r="F39" s="125" t="s">
        <v>11</v>
      </c>
      <c r="G39" s="125" t="s">
        <v>207</v>
      </c>
      <c r="H39" s="125" t="s">
        <v>208</v>
      </c>
      <c r="I39" s="126" t="s">
        <v>243</v>
      </c>
    </row>
    <row r="40" customFormat="false" ht="15" hidden="false" customHeight="true" outlineLevel="0" collapsed="false">
      <c r="A40" s="125" t="s">
        <v>7</v>
      </c>
      <c r="B40" s="126" t="s">
        <v>157</v>
      </c>
      <c r="C40" s="125" t="s">
        <v>205</v>
      </c>
      <c r="D40" s="125" t="s">
        <v>206</v>
      </c>
      <c r="E40" s="125" t="n">
        <v>2754</v>
      </c>
      <c r="F40" s="125" t="s">
        <v>11</v>
      </c>
      <c r="G40" s="125" t="s">
        <v>207</v>
      </c>
      <c r="H40" s="125" t="s">
        <v>208</v>
      </c>
      <c r="I40" s="126" t="s">
        <v>244</v>
      </c>
    </row>
    <row r="41" customFormat="false" ht="15" hidden="false" customHeight="true" outlineLevel="0" collapsed="false">
      <c r="A41" s="125" t="s">
        <v>100</v>
      </c>
      <c r="B41" s="126" t="s">
        <v>157</v>
      </c>
      <c r="C41" s="125" t="s">
        <v>205</v>
      </c>
      <c r="D41" s="125" t="s">
        <v>206</v>
      </c>
      <c r="E41" s="125" t="n">
        <v>2916.04</v>
      </c>
      <c r="F41" s="125" t="s">
        <v>11</v>
      </c>
      <c r="G41" s="125" t="s">
        <v>207</v>
      </c>
      <c r="H41" s="125" t="s">
        <v>213</v>
      </c>
      <c r="I41" s="126" t="s">
        <v>242</v>
      </c>
    </row>
    <row r="42" customFormat="false" ht="15" hidden="false" customHeight="true" outlineLevel="0" collapsed="false">
      <c r="A42" s="125" t="s">
        <v>4</v>
      </c>
      <c r="B42" s="126" t="s">
        <v>31</v>
      </c>
      <c r="C42" s="125" t="s">
        <v>205</v>
      </c>
      <c r="D42" s="125" t="s">
        <v>206</v>
      </c>
      <c r="E42" s="125" t="n">
        <v>600</v>
      </c>
      <c r="F42" s="125" t="s">
        <v>11</v>
      </c>
      <c r="G42" s="125" t="s">
        <v>207</v>
      </c>
      <c r="H42" s="125" t="s">
        <v>208</v>
      </c>
      <c r="I42" s="126" t="s">
        <v>245</v>
      </c>
    </row>
    <row r="43" customFormat="false" ht="15" hidden="false" customHeight="true" outlineLevel="0" collapsed="false">
      <c r="A43" s="125" t="s">
        <v>5</v>
      </c>
      <c r="B43" s="126" t="s">
        <v>31</v>
      </c>
      <c r="C43" s="125" t="s">
        <v>205</v>
      </c>
      <c r="D43" s="125" t="s">
        <v>206</v>
      </c>
      <c r="E43" s="125" t="n">
        <v>677</v>
      </c>
      <c r="F43" s="125" t="s">
        <v>11</v>
      </c>
      <c r="G43" s="125" t="s">
        <v>207</v>
      </c>
      <c r="H43" s="125" t="s">
        <v>208</v>
      </c>
      <c r="I43" s="126" t="s">
        <v>246</v>
      </c>
    </row>
    <row r="44" customFormat="false" ht="15" hidden="false" customHeight="true" outlineLevel="0" collapsed="false">
      <c r="A44" s="125" t="s">
        <v>6</v>
      </c>
      <c r="B44" s="126" t="s">
        <v>31</v>
      </c>
      <c r="C44" s="125" t="s">
        <v>205</v>
      </c>
      <c r="D44" s="125" t="s">
        <v>206</v>
      </c>
      <c r="E44" s="125" t="n">
        <v>740</v>
      </c>
      <c r="F44" s="125" t="s">
        <v>11</v>
      </c>
      <c r="G44" s="125" t="s">
        <v>207</v>
      </c>
      <c r="H44" s="125" t="s">
        <v>208</v>
      </c>
      <c r="I44" s="126" t="s">
        <v>247</v>
      </c>
    </row>
    <row r="45" customFormat="false" ht="15" hidden="false" customHeight="true" outlineLevel="0" collapsed="false">
      <c r="A45" s="125" t="s">
        <v>7</v>
      </c>
      <c r="B45" s="126" t="s">
        <v>31</v>
      </c>
      <c r="C45" s="125" t="s">
        <v>205</v>
      </c>
      <c r="D45" s="125" t="s">
        <v>206</v>
      </c>
      <c r="E45" s="125" t="n">
        <v>811</v>
      </c>
      <c r="F45" s="125" t="s">
        <v>11</v>
      </c>
      <c r="G45" s="125" t="s">
        <v>207</v>
      </c>
      <c r="H45" s="125" t="s">
        <v>208</v>
      </c>
      <c r="I45" s="126" t="s">
        <v>248</v>
      </c>
    </row>
    <row r="46" customFormat="false" ht="15" hidden="false" customHeight="true" outlineLevel="0" collapsed="false">
      <c r="A46" s="125" t="s">
        <v>100</v>
      </c>
      <c r="B46" s="126" t="s">
        <v>31</v>
      </c>
      <c r="C46" s="125" t="s">
        <v>205</v>
      </c>
      <c r="D46" s="125" t="s">
        <v>206</v>
      </c>
      <c r="E46" s="125" t="n">
        <v>880</v>
      </c>
      <c r="F46" s="125" t="s">
        <v>11</v>
      </c>
      <c r="G46" s="125" t="s">
        <v>207</v>
      </c>
      <c r="H46" s="125" t="s">
        <v>213</v>
      </c>
      <c r="I46" s="126" t="s">
        <v>190</v>
      </c>
    </row>
    <row r="47" customFormat="false" ht="15" hidden="false" customHeight="true" outlineLevel="0" collapsed="false">
      <c r="A47" s="125" t="s">
        <v>4</v>
      </c>
      <c r="B47" s="126" t="s">
        <v>33</v>
      </c>
      <c r="C47" s="125" t="s">
        <v>205</v>
      </c>
      <c r="D47" s="125" t="s">
        <v>206</v>
      </c>
      <c r="E47" s="125" t="n">
        <v>2091</v>
      </c>
      <c r="F47" s="125" t="s">
        <v>11</v>
      </c>
      <c r="G47" s="125" t="s">
        <v>207</v>
      </c>
      <c r="H47" s="125" t="s">
        <v>208</v>
      </c>
      <c r="I47" s="126" t="s">
        <v>249</v>
      </c>
    </row>
    <row r="48" customFormat="false" ht="15" hidden="false" customHeight="true" outlineLevel="0" collapsed="false">
      <c r="A48" s="125" t="s">
        <v>5</v>
      </c>
      <c r="B48" s="126" t="s">
        <v>33</v>
      </c>
      <c r="C48" s="125" t="s">
        <v>205</v>
      </c>
      <c r="D48" s="125" t="s">
        <v>206</v>
      </c>
      <c r="E48" s="125" t="n">
        <v>2322</v>
      </c>
      <c r="F48" s="125" t="s">
        <v>11</v>
      </c>
      <c r="G48" s="125" t="s">
        <v>207</v>
      </c>
      <c r="H48" s="125" t="s">
        <v>208</v>
      </c>
      <c r="I48" s="126" t="s">
        <v>250</v>
      </c>
    </row>
    <row r="49" customFormat="false" ht="15" hidden="false" customHeight="true" outlineLevel="0" collapsed="false">
      <c r="A49" s="125" t="s">
        <v>6</v>
      </c>
      <c r="B49" s="126" t="s">
        <v>33</v>
      </c>
      <c r="C49" s="125" t="s">
        <v>205</v>
      </c>
      <c r="D49" s="125" t="s">
        <v>206</v>
      </c>
      <c r="E49" s="125" t="n">
        <v>876</v>
      </c>
      <c r="F49" s="125" t="s">
        <v>11</v>
      </c>
      <c r="G49" s="125" t="s">
        <v>207</v>
      </c>
      <c r="H49" s="125" t="s">
        <v>208</v>
      </c>
      <c r="I49" s="126" t="s">
        <v>251</v>
      </c>
    </row>
    <row r="50" customFormat="false" ht="15" hidden="false" customHeight="true" outlineLevel="0" collapsed="false">
      <c r="A50" s="125" t="s">
        <v>7</v>
      </c>
      <c r="B50" s="126" t="s">
        <v>33</v>
      </c>
      <c r="C50" s="125" t="s">
        <v>205</v>
      </c>
      <c r="D50" s="125" t="s">
        <v>206</v>
      </c>
      <c r="E50" s="125" t="n">
        <v>1374</v>
      </c>
      <c r="F50" s="125" t="s">
        <v>11</v>
      </c>
      <c r="G50" s="125" t="s">
        <v>207</v>
      </c>
      <c r="H50" s="125" t="s">
        <v>208</v>
      </c>
      <c r="I50" s="126" t="s">
        <v>252</v>
      </c>
    </row>
    <row r="51" customFormat="false" ht="15" hidden="false" customHeight="true" outlineLevel="0" collapsed="false">
      <c r="A51" s="125" t="s">
        <v>100</v>
      </c>
      <c r="B51" s="126" t="s">
        <v>33</v>
      </c>
      <c r="C51" s="125" t="s">
        <v>205</v>
      </c>
      <c r="D51" s="125" t="s">
        <v>206</v>
      </c>
      <c r="E51" s="125" t="n">
        <v>2036.04</v>
      </c>
      <c r="F51" s="125" t="s">
        <v>11</v>
      </c>
      <c r="G51" s="125" t="s">
        <v>207</v>
      </c>
      <c r="H51" s="125" t="s">
        <v>213</v>
      </c>
      <c r="I51" s="126" t="s">
        <v>253</v>
      </c>
    </row>
    <row r="52" customFormat="false" ht="15" hidden="false" customHeight="true" outlineLevel="0" collapsed="false">
      <c r="A52" s="125" t="s">
        <v>4</v>
      </c>
      <c r="B52" s="126" t="s">
        <v>35</v>
      </c>
      <c r="C52" s="125" t="s">
        <v>205</v>
      </c>
      <c r="D52" s="125" t="s">
        <v>206</v>
      </c>
      <c r="E52" s="125" t="n">
        <v>534</v>
      </c>
      <c r="F52" s="125" t="s">
        <v>11</v>
      </c>
      <c r="G52" s="125" t="s">
        <v>207</v>
      </c>
      <c r="H52" s="125" t="s">
        <v>208</v>
      </c>
      <c r="I52" s="126" t="s">
        <v>254</v>
      </c>
    </row>
    <row r="53" customFormat="false" ht="15" hidden="false" customHeight="true" outlineLevel="0" collapsed="false">
      <c r="A53" s="125" t="s">
        <v>5</v>
      </c>
      <c r="B53" s="126" t="s">
        <v>35</v>
      </c>
      <c r="C53" s="125" t="s">
        <v>205</v>
      </c>
      <c r="D53" s="125" t="s">
        <v>206</v>
      </c>
      <c r="E53" s="125" t="n">
        <v>693</v>
      </c>
      <c r="F53" s="125" t="s">
        <v>11</v>
      </c>
      <c r="G53" s="125" t="s">
        <v>207</v>
      </c>
      <c r="H53" s="125" t="s">
        <v>208</v>
      </c>
      <c r="I53" s="126" t="s">
        <v>255</v>
      </c>
    </row>
    <row r="54" customFormat="false" ht="15" hidden="false" customHeight="true" outlineLevel="0" collapsed="false">
      <c r="A54" s="125" t="s">
        <v>6</v>
      </c>
      <c r="B54" s="126" t="s">
        <v>35</v>
      </c>
      <c r="C54" s="125" t="s">
        <v>205</v>
      </c>
      <c r="D54" s="125" t="s">
        <v>206</v>
      </c>
      <c r="E54" s="125" t="n">
        <v>759</v>
      </c>
      <c r="F54" s="125" t="s">
        <v>11</v>
      </c>
      <c r="G54" s="125" t="s">
        <v>207</v>
      </c>
      <c r="H54" s="125" t="s">
        <v>208</v>
      </c>
      <c r="I54" s="126" t="s">
        <v>256</v>
      </c>
    </row>
    <row r="55" customFormat="false" ht="15" hidden="false" customHeight="true" outlineLevel="0" collapsed="false">
      <c r="A55" s="125" t="s">
        <v>7</v>
      </c>
      <c r="B55" s="126" t="s">
        <v>35</v>
      </c>
      <c r="C55" s="125" t="s">
        <v>205</v>
      </c>
      <c r="D55" s="125" t="s">
        <v>206</v>
      </c>
      <c r="E55" s="125" t="n">
        <v>421</v>
      </c>
      <c r="F55" s="125" t="s">
        <v>11</v>
      </c>
      <c r="G55" s="125" t="s">
        <v>207</v>
      </c>
      <c r="H55" s="125" t="s">
        <v>208</v>
      </c>
      <c r="I55" s="126" t="s">
        <v>257</v>
      </c>
    </row>
    <row r="56" customFormat="false" ht="15" hidden="false" customHeight="true" outlineLevel="0" collapsed="false">
      <c r="A56" s="125" t="s">
        <v>100</v>
      </c>
      <c r="B56" s="126" t="s">
        <v>35</v>
      </c>
      <c r="C56" s="125" t="s">
        <v>205</v>
      </c>
      <c r="D56" s="125" t="s">
        <v>206</v>
      </c>
      <c r="E56" s="125" t="n">
        <v>590.45</v>
      </c>
      <c r="F56" s="125" t="s">
        <v>11</v>
      </c>
      <c r="G56" s="125" t="s">
        <v>207</v>
      </c>
      <c r="H56" s="125" t="s">
        <v>213</v>
      </c>
      <c r="I56" s="126" t="s">
        <v>258</v>
      </c>
    </row>
    <row r="57" customFormat="false" ht="15" hidden="false" customHeight="true" outlineLevel="0" collapsed="false">
      <c r="A57" s="125" t="s">
        <v>4</v>
      </c>
      <c r="B57" s="126" t="s">
        <v>259</v>
      </c>
      <c r="C57" s="125" t="s">
        <v>205</v>
      </c>
      <c r="D57" s="125" t="s">
        <v>206</v>
      </c>
      <c r="E57" s="125" t="n">
        <v>1547</v>
      </c>
      <c r="F57" s="125" t="s">
        <v>11</v>
      </c>
      <c r="G57" s="125" t="s">
        <v>207</v>
      </c>
      <c r="H57" s="125" t="s">
        <v>208</v>
      </c>
      <c r="I57" s="126" t="s">
        <v>260</v>
      </c>
    </row>
    <row r="58" customFormat="false" ht="15" hidden="false" customHeight="true" outlineLevel="0" collapsed="false">
      <c r="A58" s="125" t="s">
        <v>5</v>
      </c>
      <c r="B58" s="126" t="s">
        <v>259</v>
      </c>
      <c r="C58" s="125" t="s">
        <v>205</v>
      </c>
      <c r="D58" s="125" t="s">
        <v>206</v>
      </c>
      <c r="E58" s="125" t="n">
        <v>1618</v>
      </c>
      <c r="F58" s="125" t="s">
        <v>11</v>
      </c>
      <c r="G58" s="125" t="s">
        <v>207</v>
      </c>
      <c r="H58" s="125" t="s">
        <v>208</v>
      </c>
      <c r="I58" s="126" t="s">
        <v>261</v>
      </c>
    </row>
    <row r="59" customFormat="false" ht="15" hidden="false" customHeight="true" outlineLevel="0" collapsed="false">
      <c r="A59" s="125" t="s">
        <v>6</v>
      </c>
      <c r="B59" s="126" t="s">
        <v>259</v>
      </c>
      <c r="C59" s="125" t="s">
        <v>205</v>
      </c>
      <c r="D59" s="125" t="s">
        <v>206</v>
      </c>
      <c r="E59" s="125" t="n">
        <v>108</v>
      </c>
      <c r="F59" s="125" t="s">
        <v>11</v>
      </c>
      <c r="G59" s="125" t="s">
        <v>207</v>
      </c>
      <c r="H59" s="125" t="s">
        <v>208</v>
      </c>
      <c r="I59" s="126" t="s">
        <v>262</v>
      </c>
    </row>
    <row r="60" customFormat="false" ht="15" hidden="false" customHeight="true" outlineLevel="0" collapsed="false">
      <c r="A60" s="125" t="s">
        <v>7</v>
      </c>
      <c r="B60" s="126" t="s">
        <v>259</v>
      </c>
      <c r="C60" s="125" t="s">
        <v>205</v>
      </c>
      <c r="D60" s="125" t="s">
        <v>206</v>
      </c>
      <c r="E60" s="125" t="n">
        <v>963</v>
      </c>
      <c r="F60" s="125" t="s">
        <v>11</v>
      </c>
      <c r="G60" s="125" t="s">
        <v>207</v>
      </c>
      <c r="H60" s="125" t="s">
        <v>208</v>
      </c>
      <c r="I60" s="126" t="s">
        <v>263</v>
      </c>
    </row>
    <row r="61" customFormat="false" ht="15" hidden="false" customHeight="true" outlineLevel="0" collapsed="false">
      <c r="A61" s="125" t="s">
        <v>100</v>
      </c>
      <c r="B61" s="126" t="s">
        <v>259</v>
      </c>
      <c r="C61" s="125" t="s">
        <v>205</v>
      </c>
      <c r="D61" s="125" t="s">
        <v>206</v>
      </c>
      <c r="E61" s="125" t="n">
        <v>1445.59</v>
      </c>
      <c r="F61" s="125" t="s">
        <v>11</v>
      </c>
      <c r="G61" s="125" t="s">
        <v>207</v>
      </c>
      <c r="H61" s="125" t="s">
        <v>213</v>
      </c>
      <c r="I61" s="126" t="s">
        <v>264</v>
      </c>
    </row>
    <row r="62" customFormat="false" ht="15" hidden="false" customHeight="true" outlineLevel="0" collapsed="false">
      <c r="A62" s="125" t="s">
        <v>4</v>
      </c>
      <c r="B62" s="126" t="s">
        <v>159</v>
      </c>
      <c r="C62" s="125" t="s">
        <v>205</v>
      </c>
      <c r="D62" s="125" t="s">
        <v>206</v>
      </c>
      <c r="E62" s="125" t="n">
        <v>1547</v>
      </c>
      <c r="F62" s="125" t="s">
        <v>11</v>
      </c>
      <c r="G62" s="125" t="s">
        <v>207</v>
      </c>
      <c r="H62" s="125" t="s">
        <v>208</v>
      </c>
      <c r="I62" s="126" t="s">
        <v>260</v>
      </c>
    </row>
    <row r="63" customFormat="false" ht="15" hidden="false" customHeight="true" outlineLevel="0" collapsed="false">
      <c r="A63" s="125" t="s">
        <v>5</v>
      </c>
      <c r="B63" s="126" t="s">
        <v>159</v>
      </c>
      <c r="C63" s="125" t="s">
        <v>205</v>
      </c>
      <c r="D63" s="125" t="s">
        <v>206</v>
      </c>
      <c r="E63" s="125" t="n">
        <v>1618</v>
      </c>
      <c r="F63" s="125" t="s">
        <v>11</v>
      </c>
      <c r="G63" s="125" t="s">
        <v>207</v>
      </c>
      <c r="H63" s="125" t="s">
        <v>208</v>
      </c>
      <c r="I63" s="126" t="s">
        <v>261</v>
      </c>
    </row>
    <row r="64" customFormat="false" ht="15" hidden="false" customHeight="true" outlineLevel="0" collapsed="false">
      <c r="A64" s="125" t="s">
        <v>6</v>
      </c>
      <c r="B64" s="126" t="s">
        <v>159</v>
      </c>
      <c r="C64" s="125" t="s">
        <v>205</v>
      </c>
      <c r="D64" s="125" t="s">
        <v>206</v>
      </c>
      <c r="E64" s="125" t="n">
        <v>1399</v>
      </c>
      <c r="F64" s="125" t="s">
        <v>11</v>
      </c>
      <c r="G64" s="125" t="s">
        <v>207</v>
      </c>
      <c r="H64" s="125" t="s">
        <v>208</v>
      </c>
      <c r="I64" s="126" t="s">
        <v>265</v>
      </c>
    </row>
    <row r="65" customFormat="false" ht="15" hidden="false" customHeight="true" outlineLevel="0" collapsed="false">
      <c r="A65" s="125" t="s">
        <v>7</v>
      </c>
      <c r="B65" s="126" t="s">
        <v>159</v>
      </c>
      <c r="C65" s="125" t="s">
        <v>205</v>
      </c>
      <c r="D65" s="125" t="s">
        <v>206</v>
      </c>
      <c r="E65" s="125" t="n">
        <v>963</v>
      </c>
      <c r="F65" s="125" t="s">
        <v>11</v>
      </c>
      <c r="G65" s="125" t="s">
        <v>207</v>
      </c>
      <c r="H65" s="125" t="s">
        <v>208</v>
      </c>
      <c r="I65" s="126" t="s">
        <v>263</v>
      </c>
    </row>
    <row r="66" customFormat="false" ht="15" hidden="false" customHeight="true" outlineLevel="0" collapsed="false">
      <c r="A66" s="125" t="s">
        <v>100</v>
      </c>
      <c r="B66" s="126" t="s">
        <v>159</v>
      </c>
      <c r="C66" s="125" t="s">
        <v>205</v>
      </c>
      <c r="D66" s="125" t="s">
        <v>206</v>
      </c>
      <c r="E66" s="125" t="n">
        <v>1445.59</v>
      </c>
      <c r="F66" s="125" t="s">
        <v>11</v>
      </c>
      <c r="G66" s="125" t="s">
        <v>207</v>
      </c>
      <c r="H66" s="125" t="s">
        <v>213</v>
      </c>
      <c r="I66" s="126" t="s">
        <v>264</v>
      </c>
    </row>
    <row r="67" customFormat="false" ht="15" hidden="false" customHeight="true" outlineLevel="0" collapsed="false">
      <c r="A67" s="125" t="s">
        <v>4</v>
      </c>
      <c r="B67" s="126" t="s">
        <v>42</v>
      </c>
      <c r="C67" s="125" t="s">
        <v>205</v>
      </c>
      <c r="D67" s="125" t="s">
        <v>266</v>
      </c>
      <c r="E67" s="125" t="n">
        <v>26.25</v>
      </c>
      <c r="F67" s="125" t="s">
        <v>43</v>
      </c>
      <c r="G67" s="125" t="s">
        <v>267</v>
      </c>
      <c r="H67" s="125" t="s">
        <v>208</v>
      </c>
      <c r="I67" s="126" t="s">
        <v>268</v>
      </c>
    </row>
    <row r="68" customFormat="false" ht="15" hidden="false" customHeight="true" outlineLevel="0" collapsed="false">
      <c r="A68" s="125" t="s">
        <v>5</v>
      </c>
      <c r="B68" s="126" t="s">
        <v>42</v>
      </c>
      <c r="C68" s="125" t="s">
        <v>205</v>
      </c>
      <c r="D68" s="125" t="s">
        <v>266</v>
      </c>
      <c r="E68" s="125" t="n">
        <v>26.71</v>
      </c>
      <c r="F68" s="125" t="s">
        <v>43</v>
      </c>
      <c r="G68" s="125" t="s">
        <v>267</v>
      </c>
      <c r="H68" s="125" t="s">
        <v>208</v>
      </c>
      <c r="I68" s="126" t="s">
        <v>269</v>
      </c>
    </row>
    <row r="69" customFormat="false" ht="15" hidden="false" customHeight="true" outlineLevel="0" collapsed="false">
      <c r="A69" s="125" t="s">
        <v>6</v>
      </c>
      <c r="B69" s="126" t="s">
        <v>42</v>
      </c>
      <c r="C69" s="125" t="s">
        <v>205</v>
      </c>
      <c r="D69" s="125" t="s">
        <v>266</v>
      </c>
      <c r="E69" s="125" t="n">
        <v>27.31</v>
      </c>
      <c r="F69" s="125" t="s">
        <v>43</v>
      </c>
      <c r="G69" s="125" t="s">
        <v>267</v>
      </c>
      <c r="H69" s="125" t="s">
        <v>208</v>
      </c>
      <c r="I69" s="126" t="s">
        <v>270</v>
      </c>
    </row>
    <row r="70" customFormat="false" ht="15" hidden="false" customHeight="true" outlineLevel="0" collapsed="false">
      <c r="A70" s="125" t="s">
        <v>7</v>
      </c>
      <c r="B70" s="126" t="s">
        <v>42</v>
      </c>
      <c r="C70" s="125" t="s">
        <v>205</v>
      </c>
      <c r="D70" s="125" t="s">
        <v>266</v>
      </c>
      <c r="E70" s="125" t="n">
        <v>27.24</v>
      </c>
      <c r="F70" s="125" t="s">
        <v>43</v>
      </c>
      <c r="G70" s="125" t="s">
        <v>267</v>
      </c>
      <c r="H70" s="125" t="s">
        <v>208</v>
      </c>
      <c r="I70" s="126" t="s">
        <v>184</v>
      </c>
    </row>
    <row r="71" customFormat="false" ht="15" hidden="false" customHeight="true" outlineLevel="0" collapsed="false">
      <c r="A71" s="125" t="s">
        <v>100</v>
      </c>
      <c r="B71" s="126" t="s">
        <v>42</v>
      </c>
      <c r="C71" s="125" t="s">
        <v>205</v>
      </c>
      <c r="D71" s="125" t="s">
        <v>266</v>
      </c>
      <c r="E71" s="125" t="n">
        <v>26.88</v>
      </c>
      <c r="F71" s="125" t="s">
        <v>43</v>
      </c>
      <c r="G71" s="125" t="s">
        <v>267</v>
      </c>
      <c r="H71" s="125" t="s">
        <v>213</v>
      </c>
      <c r="I71" s="126" t="s">
        <v>183</v>
      </c>
    </row>
    <row r="72" customFormat="false" ht="15" hidden="false" customHeight="true" outlineLevel="0" collapsed="false">
      <c r="A72" s="125" t="s">
        <v>4</v>
      </c>
      <c r="B72" s="126" t="s">
        <v>45</v>
      </c>
      <c r="C72" s="125" t="s">
        <v>205</v>
      </c>
      <c r="D72" s="125" t="s">
        <v>266</v>
      </c>
      <c r="E72" s="125" t="n">
        <v>22.31</v>
      </c>
      <c r="F72" s="125" t="s">
        <v>43</v>
      </c>
      <c r="G72" s="125" t="s">
        <v>267</v>
      </c>
      <c r="H72" s="125" t="s">
        <v>208</v>
      </c>
      <c r="I72" s="126" t="s">
        <v>271</v>
      </c>
    </row>
    <row r="73" customFormat="false" ht="15" hidden="false" customHeight="true" outlineLevel="0" collapsed="false">
      <c r="A73" s="125" t="s">
        <v>5</v>
      </c>
      <c r="B73" s="126" t="s">
        <v>45</v>
      </c>
      <c r="C73" s="125" t="s">
        <v>205</v>
      </c>
      <c r="D73" s="125" t="s">
        <v>266</v>
      </c>
      <c r="E73" s="125" t="n">
        <v>22.48</v>
      </c>
      <c r="F73" s="125" t="s">
        <v>43</v>
      </c>
      <c r="G73" s="125" t="s">
        <v>267</v>
      </c>
      <c r="H73" s="125" t="s">
        <v>208</v>
      </c>
      <c r="I73" s="126" t="s">
        <v>272</v>
      </c>
    </row>
    <row r="74" customFormat="false" ht="15" hidden="false" customHeight="true" outlineLevel="0" collapsed="false">
      <c r="A74" s="125" t="s">
        <v>6</v>
      </c>
      <c r="B74" s="126" t="s">
        <v>45</v>
      </c>
      <c r="C74" s="125" t="s">
        <v>205</v>
      </c>
      <c r="D74" s="125" t="s">
        <v>266</v>
      </c>
      <c r="E74" s="125" t="n">
        <v>22.89</v>
      </c>
      <c r="F74" s="125" t="s">
        <v>43</v>
      </c>
      <c r="G74" s="125" t="s">
        <v>267</v>
      </c>
      <c r="H74" s="125" t="s">
        <v>208</v>
      </c>
      <c r="I74" s="126" t="s">
        <v>273</v>
      </c>
    </row>
    <row r="75" customFormat="false" ht="15" hidden="false" customHeight="true" outlineLevel="0" collapsed="false">
      <c r="A75" s="125" t="s">
        <v>7</v>
      </c>
      <c r="B75" s="126" t="s">
        <v>45</v>
      </c>
      <c r="C75" s="125" t="s">
        <v>205</v>
      </c>
      <c r="D75" s="125" t="s">
        <v>266</v>
      </c>
      <c r="E75" s="125" t="n">
        <v>23.65</v>
      </c>
      <c r="F75" s="125" t="s">
        <v>43</v>
      </c>
      <c r="G75" s="125" t="s">
        <v>267</v>
      </c>
      <c r="H75" s="125" t="s">
        <v>208</v>
      </c>
      <c r="I75" s="126" t="s">
        <v>274</v>
      </c>
    </row>
    <row r="76" customFormat="false" ht="15" hidden="false" customHeight="true" outlineLevel="0" collapsed="false">
      <c r="A76" s="125" t="s">
        <v>100</v>
      </c>
      <c r="B76" s="126" t="s">
        <v>45</v>
      </c>
      <c r="C76" s="125" t="s">
        <v>205</v>
      </c>
      <c r="D76" s="125" t="s">
        <v>266</v>
      </c>
      <c r="E76" s="125" t="n">
        <v>22.83</v>
      </c>
      <c r="F76" s="125" t="s">
        <v>43</v>
      </c>
      <c r="G76" s="125" t="s">
        <v>267</v>
      </c>
      <c r="H76" s="125" t="s">
        <v>213</v>
      </c>
      <c r="I76" s="126" t="s">
        <v>187</v>
      </c>
    </row>
    <row r="77" customFormat="false" ht="15" hidden="false" customHeight="true" outlineLevel="0" collapsed="false">
      <c r="A77" s="125" t="s">
        <v>4</v>
      </c>
      <c r="B77" s="126" t="s">
        <v>275</v>
      </c>
      <c r="C77" s="125" t="s">
        <v>205</v>
      </c>
      <c r="D77" s="125" t="s">
        <v>266</v>
      </c>
      <c r="E77" s="125" t="n">
        <v>4.42</v>
      </c>
      <c r="F77" s="125" t="s">
        <v>43</v>
      </c>
      <c r="G77" s="125" t="s">
        <v>267</v>
      </c>
      <c r="H77" s="125" t="s">
        <v>208</v>
      </c>
      <c r="I77" s="126" t="s">
        <v>276</v>
      </c>
    </row>
    <row r="78" customFormat="false" ht="15" hidden="false" customHeight="true" outlineLevel="0" collapsed="false">
      <c r="A78" s="125" t="s">
        <v>5</v>
      </c>
      <c r="B78" s="126" t="s">
        <v>275</v>
      </c>
      <c r="C78" s="125" t="s">
        <v>205</v>
      </c>
      <c r="D78" s="125" t="s">
        <v>266</v>
      </c>
      <c r="E78" s="125" t="n">
        <v>4.66</v>
      </c>
      <c r="F78" s="125" t="s">
        <v>43</v>
      </c>
      <c r="G78" s="125" t="s">
        <v>267</v>
      </c>
      <c r="H78" s="125" t="s">
        <v>208</v>
      </c>
      <c r="I78" s="126" t="s">
        <v>277</v>
      </c>
    </row>
    <row r="79" customFormat="false" ht="15" hidden="false" customHeight="true" outlineLevel="0" collapsed="false">
      <c r="A79" s="125" t="s">
        <v>6</v>
      </c>
      <c r="B79" s="126" t="s">
        <v>275</v>
      </c>
      <c r="C79" s="125" t="s">
        <v>205</v>
      </c>
      <c r="D79" s="125" t="s">
        <v>266</v>
      </c>
      <c r="E79" s="125" t="n">
        <v>2.38</v>
      </c>
      <c r="F79" s="125" t="s">
        <v>43</v>
      </c>
      <c r="G79" s="125" t="s">
        <v>267</v>
      </c>
      <c r="H79" s="125" t="s">
        <v>208</v>
      </c>
      <c r="I79" s="126" t="s">
        <v>278</v>
      </c>
    </row>
    <row r="80" customFormat="false" ht="15" hidden="false" customHeight="true" outlineLevel="0" collapsed="false">
      <c r="A80" s="125" t="s">
        <v>7</v>
      </c>
      <c r="B80" s="126" t="s">
        <v>275</v>
      </c>
      <c r="C80" s="125" t="s">
        <v>205</v>
      </c>
      <c r="D80" s="125" t="s">
        <v>266</v>
      </c>
      <c r="E80" s="125" t="n">
        <v>3.16</v>
      </c>
      <c r="F80" s="125" t="s">
        <v>43</v>
      </c>
      <c r="G80" s="125" t="s">
        <v>267</v>
      </c>
      <c r="H80" s="125" t="s">
        <v>208</v>
      </c>
      <c r="I80" s="126" t="s">
        <v>279</v>
      </c>
    </row>
    <row r="81" customFormat="false" ht="15" hidden="false" customHeight="true" outlineLevel="0" collapsed="false">
      <c r="A81" s="125" t="s">
        <v>100</v>
      </c>
      <c r="B81" s="126" t="s">
        <v>275</v>
      </c>
      <c r="C81" s="125" t="s">
        <v>205</v>
      </c>
      <c r="D81" s="125" t="s">
        <v>266</v>
      </c>
      <c r="E81" s="125" t="n">
        <v>4.05</v>
      </c>
      <c r="F81" s="125" t="s">
        <v>43</v>
      </c>
      <c r="G81" s="125" t="s">
        <v>267</v>
      </c>
      <c r="H81" s="125" t="s">
        <v>213</v>
      </c>
      <c r="I81" s="126" t="s">
        <v>280</v>
      </c>
    </row>
    <row r="82" customFormat="false" ht="15" hidden="false" customHeight="true" outlineLevel="0" collapsed="false">
      <c r="A82" s="125" t="s">
        <v>4</v>
      </c>
      <c r="B82" s="126" t="s">
        <v>48</v>
      </c>
      <c r="C82" s="125" t="s">
        <v>205</v>
      </c>
      <c r="D82" s="125" t="s">
        <v>266</v>
      </c>
      <c r="E82" s="125" t="n">
        <v>4.42</v>
      </c>
      <c r="F82" s="125" t="s">
        <v>43</v>
      </c>
      <c r="G82" s="125" t="s">
        <v>267</v>
      </c>
      <c r="H82" s="125" t="s">
        <v>208</v>
      </c>
      <c r="I82" s="126" t="s">
        <v>276</v>
      </c>
    </row>
    <row r="83" customFormat="false" ht="15" hidden="false" customHeight="true" outlineLevel="0" collapsed="false">
      <c r="A83" s="125" t="s">
        <v>5</v>
      </c>
      <c r="B83" s="126" t="s">
        <v>48</v>
      </c>
      <c r="C83" s="125" t="s">
        <v>205</v>
      </c>
      <c r="D83" s="125" t="s">
        <v>266</v>
      </c>
      <c r="E83" s="125" t="n">
        <v>4.66</v>
      </c>
      <c r="F83" s="125" t="s">
        <v>43</v>
      </c>
      <c r="G83" s="125" t="s">
        <v>267</v>
      </c>
      <c r="H83" s="125" t="s">
        <v>208</v>
      </c>
      <c r="I83" s="126" t="s">
        <v>277</v>
      </c>
    </row>
    <row r="84" customFormat="false" ht="15" hidden="false" customHeight="true" outlineLevel="0" collapsed="false">
      <c r="A84" s="125" t="s">
        <v>6</v>
      </c>
      <c r="B84" s="126" t="s">
        <v>48</v>
      </c>
      <c r="C84" s="125" t="s">
        <v>205</v>
      </c>
      <c r="D84" s="125" t="s">
        <v>266</v>
      </c>
      <c r="E84" s="125" t="n">
        <v>4.88</v>
      </c>
      <c r="F84" s="125" t="s">
        <v>43</v>
      </c>
      <c r="G84" s="125" t="s">
        <v>267</v>
      </c>
      <c r="H84" s="125" t="s">
        <v>208</v>
      </c>
      <c r="I84" s="126" t="s">
        <v>281</v>
      </c>
    </row>
    <row r="85" customFormat="false" ht="15" hidden="false" customHeight="true" outlineLevel="0" collapsed="false">
      <c r="A85" s="125" t="s">
        <v>7</v>
      </c>
      <c r="B85" s="126" t="s">
        <v>48</v>
      </c>
      <c r="C85" s="125" t="s">
        <v>205</v>
      </c>
      <c r="D85" s="125" t="s">
        <v>266</v>
      </c>
      <c r="E85" s="125" t="n">
        <v>3.99</v>
      </c>
      <c r="F85" s="125" t="s">
        <v>43</v>
      </c>
      <c r="G85" s="125" t="s">
        <v>267</v>
      </c>
      <c r="H85" s="125" t="s">
        <v>208</v>
      </c>
      <c r="I85" s="126" t="s">
        <v>280</v>
      </c>
    </row>
    <row r="86" customFormat="false" ht="15" hidden="false" customHeight="true" outlineLevel="0" collapsed="false">
      <c r="A86" s="125" t="s">
        <v>100</v>
      </c>
      <c r="B86" s="126" t="s">
        <v>48</v>
      </c>
      <c r="C86" s="125" t="s">
        <v>205</v>
      </c>
      <c r="D86" s="125" t="s">
        <v>266</v>
      </c>
      <c r="E86" s="125" t="n">
        <v>4.05</v>
      </c>
      <c r="F86" s="125" t="s">
        <v>43</v>
      </c>
      <c r="G86" s="125" t="s">
        <v>267</v>
      </c>
      <c r="H86" s="125" t="s">
        <v>213</v>
      </c>
      <c r="I86" s="126" t="s">
        <v>280</v>
      </c>
    </row>
    <row r="87" customFormat="false" ht="15" hidden="false" customHeight="true" outlineLevel="0" collapsed="false">
      <c r="A87" s="125" t="s">
        <v>4</v>
      </c>
      <c r="B87" s="126" t="s">
        <v>282</v>
      </c>
      <c r="C87" s="125" t="s">
        <v>205</v>
      </c>
      <c r="D87" s="125" t="s">
        <v>266</v>
      </c>
      <c r="E87" s="125" t="n">
        <v>2.54</v>
      </c>
      <c r="F87" s="125" t="s">
        <v>43</v>
      </c>
      <c r="G87" s="125" t="s">
        <v>267</v>
      </c>
      <c r="H87" s="125" t="s">
        <v>208</v>
      </c>
      <c r="I87" s="126" t="s">
        <v>283</v>
      </c>
    </row>
    <row r="88" customFormat="false" ht="15" hidden="false" customHeight="true" outlineLevel="0" collapsed="false">
      <c r="A88" s="125" t="s">
        <v>5</v>
      </c>
      <c r="B88" s="126" t="s">
        <v>282</v>
      </c>
      <c r="C88" s="125" t="s">
        <v>205</v>
      </c>
      <c r="D88" s="125" t="s">
        <v>266</v>
      </c>
      <c r="E88" s="125" t="n">
        <v>2.52</v>
      </c>
      <c r="F88" s="125" t="s">
        <v>43</v>
      </c>
      <c r="G88" s="125" t="s">
        <v>267</v>
      </c>
      <c r="H88" s="125" t="s">
        <v>208</v>
      </c>
      <c r="I88" s="126" t="s">
        <v>283</v>
      </c>
    </row>
    <row r="89" customFormat="false" ht="15" hidden="false" customHeight="true" outlineLevel="0" collapsed="false">
      <c r="A89" s="125" t="s">
        <v>6</v>
      </c>
      <c r="B89" s="126" t="s">
        <v>282</v>
      </c>
      <c r="C89" s="125" t="s">
        <v>205</v>
      </c>
      <c r="D89" s="125" t="s">
        <v>266</v>
      </c>
      <c r="E89" s="125" t="n">
        <v>0.16</v>
      </c>
      <c r="F89" s="125" t="s">
        <v>43</v>
      </c>
      <c r="G89" s="125" t="s">
        <v>267</v>
      </c>
      <c r="H89" s="125" t="s">
        <v>208</v>
      </c>
      <c r="I89" s="126" t="s">
        <v>284</v>
      </c>
    </row>
    <row r="90" customFormat="false" ht="15" hidden="false" customHeight="true" outlineLevel="0" collapsed="false">
      <c r="A90" s="125" t="s">
        <v>7</v>
      </c>
      <c r="B90" s="126" t="s">
        <v>282</v>
      </c>
      <c r="C90" s="125" t="s">
        <v>205</v>
      </c>
      <c r="D90" s="125" t="s">
        <v>266</v>
      </c>
      <c r="E90" s="125" t="n">
        <v>1.39</v>
      </c>
      <c r="F90" s="125" t="s">
        <v>43</v>
      </c>
      <c r="G90" s="125" t="s">
        <v>267</v>
      </c>
      <c r="H90" s="125" t="s">
        <v>208</v>
      </c>
      <c r="I90" s="126" t="s">
        <v>285</v>
      </c>
    </row>
    <row r="91" customFormat="false" ht="15" hidden="false" customHeight="true" outlineLevel="0" collapsed="false">
      <c r="A91" s="125" t="s">
        <v>100</v>
      </c>
      <c r="B91" s="126" t="s">
        <v>282</v>
      </c>
      <c r="C91" s="125" t="s">
        <v>205</v>
      </c>
      <c r="D91" s="125" t="s">
        <v>266</v>
      </c>
      <c r="E91" s="125" t="n">
        <v>2.01</v>
      </c>
      <c r="F91" s="125" t="s">
        <v>43</v>
      </c>
      <c r="G91" s="125" t="s">
        <v>267</v>
      </c>
      <c r="H91" s="125" t="s">
        <v>213</v>
      </c>
      <c r="I91" s="126" t="s">
        <v>286</v>
      </c>
    </row>
    <row r="92" customFormat="false" ht="15" hidden="false" customHeight="true" outlineLevel="0" collapsed="false">
      <c r="A92" s="125" t="s">
        <v>5</v>
      </c>
      <c r="B92" s="126" t="s">
        <v>80</v>
      </c>
      <c r="C92" s="125" t="s">
        <v>205</v>
      </c>
      <c r="D92" s="125" t="s">
        <v>287</v>
      </c>
      <c r="E92" s="125" t="n">
        <v>5.66</v>
      </c>
      <c r="F92" s="125" t="s">
        <v>43</v>
      </c>
      <c r="G92" s="125" t="s">
        <v>288</v>
      </c>
      <c r="H92" s="125" t="s">
        <v>208</v>
      </c>
      <c r="I92" s="126" t="s">
        <v>289</v>
      </c>
    </row>
    <row r="93" customFormat="false" ht="15" hidden="false" customHeight="true" outlineLevel="0" collapsed="false">
      <c r="A93" s="125" t="s">
        <v>6</v>
      </c>
      <c r="B93" s="126" t="s">
        <v>80</v>
      </c>
      <c r="C93" s="125" t="s">
        <v>205</v>
      </c>
      <c r="D93" s="125" t="s">
        <v>287</v>
      </c>
      <c r="E93" s="125" t="n">
        <v>5.64</v>
      </c>
      <c r="F93" s="125" t="s">
        <v>43</v>
      </c>
      <c r="G93" s="125" t="s">
        <v>288</v>
      </c>
      <c r="H93" s="125" t="s">
        <v>208</v>
      </c>
      <c r="I93" s="126" t="s">
        <v>290</v>
      </c>
    </row>
    <row r="94" customFormat="false" ht="15" hidden="false" customHeight="true" outlineLevel="0" collapsed="false">
      <c r="A94" s="125" t="s">
        <v>7</v>
      </c>
      <c r="B94" s="126" t="s">
        <v>80</v>
      </c>
      <c r="C94" s="125" t="s">
        <v>205</v>
      </c>
      <c r="D94" s="125" t="s">
        <v>287</v>
      </c>
      <c r="E94" s="125" t="n">
        <v>1.7</v>
      </c>
      <c r="F94" s="125" t="s">
        <v>43</v>
      </c>
      <c r="G94" s="125" t="s">
        <v>288</v>
      </c>
      <c r="H94" s="125" t="s">
        <v>208</v>
      </c>
      <c r="I94" s="126" t="s">
        <v>291</v>
      </c>
    </row>
    <row r="95" customFormat="false" ht="15" hidden="false" customHeight="true" outlineLevel="0" collapsed="false">
      <c r="A95" s="125" t="s">
        <v>100</v>
      </c>
      <c r="B95" s="126" t="s">
        <v>80</v>
      </c>
      <c r="C95" s="125" t="s">
        <v>205</v>
      </c>
      <c r="D95" s="125" t="s">
        <v>287</v>
      </c>
      <c r="E95" s="125" t="n">
        <v>4.32</v>
      </c>
      <c r="F95" s="125" t="s">
        <v>43</v>
      </c>
      <c r="G95" s="125" t="s">
        <v>288</v>
      </c>
      <c r="H95" s="125" t="s">
        <v>213</v>
      </c>
      <c r="I95" s="126" t="s">
        <v>292</v>
      </c>
    </row>
    <row r="96" customFormat="false" ht="15" hidden="false" customHeight="true" outlineLevel="0" collapsed="false">
      <c r="A96" s="125" t="s">
        <v>5</v>
      </c>
      <c r="B96" s="126" t="s">
        <v>115</v>
      </c>
      <c r="C96" s="125" t="s">
        <v>205</v>
      </c>
      <c r="D96" s="125" t="s">
        <v>287</v>
      </c>
      <c r="E96" s="125" t="n">
        <v>7.54</v>
      </c>
      <c r="F96" s="125" t="s">
        <v>43</v>
      </c>
      <c r="G96" s="125" t="s">
        <v>288</v>
      </c>
      <c r="H96" s="125" t="s">
        <v>208</v>
      </c>
      <c r="I96" s="126" t="s">
        <v>293</v>
      </c>
    </row>
    <row r="97" customFormat="false" ht="15" hidden="false" customHeight="true" outlineLevel="0" collapsed="false">
      <c r="A97" s="125" t="s">
        <v>6</v>
      </c>
      <c r="B97" s="126" t="s">
        <v>115</v>
      </c>
      <c r="C97" s="125" t="s">
        <v>205</v>
      </c>
      <c r="D97" s="125" t="s">
        <v>287</v>
      </c>
      <c r="E97" s="125" t="n">
        <v>8.01</v>
      </c>
      <c r="F97" s="125" t="s">
        <v>43</v>
      </c>
      <c r="G97" s="125" t="s">
        <v>288</v>
      </c>
      <c r="H97" s="125" t="s">
        <v>208</v>
      </c>
      <c r="I97" s="126" t="s">
        <v>294</v>
      </c>
    </row>
    <row r="98" customFormat="false" ht="15" hidden="false" customHeight="true" outlineLevel="0" collapsed="false">
      <c r="A98" s="125" t="s">
        <v>7</v>
      </c>
      <c r="B98" s="126" t="s">
        <v>115</v>
      </c>
      <c r="C98" s="125" t="s">
        <v>205</v>
      </c>
      <c r="D98" s="125" t="s">
        <v>287</v>
      </c>
      <c r="E98" s="125" t="n">
        <v>1.42</v>
      </c>
      <c r="F98" s="125" t="s">
        <v>43</v>
      </c>
      <c r="G98" s="125" t="s">
        <v>288</v>
      </c>
      <c r="H98" s="125" t="s">
        <v>208</v>
      </c>
      <c r="I98" s="126" t="s">
        <v>285</v>
      </c>
    </row>
    <row r="99" customFormat="false" ht="15" hidden="false" customHeight="true" outlineLevel="0" collapsed="false">
      <c r="A99" s="125" t="s">
        <v>100</v>
      </c>
      <c r="B99" s="126" t="s">
        <v>115</v>
      </c>
      <c r="C99" s="125" t="s">
        <v>205</v>
      </c>
      <c r="D99" s="125" t="s">
        <v>287</v>
      </c>
      <c r="E99" s="125" t="n">
        <v>2.94</v>
      </c>
      <c r="F99" s="125" t="s">
        <v>43</v>
      </c>
      <c r="G99" s="125" t="s">
        <v>288</v>
      </c>
      <c r="H99" s="125" t="s">
        <v>213</v>
      </c>
      <c r="I99" s="126" t="s">
        <v>295</v>
      </c>
    </row>
    <row r="100" customFormat="false" ht="15" hidden="false" customHeight="true" outlineLevel="0" collapsed="false">
      <c r="A100" s="125" t="s">
        <v>5</v>
      </c>
      <c r="B100" s="126" t="s">
        <v>116</v>
      </c>
      <c r="C100" s="125" t="s">
        <v>205</v>
      </c>
      <c r="D100" s="125" t="s">
        <v>287</v>
      </c>
      <c r="E100" s="125" t="n">
        <v>11.45</v>
      </c>
      <c r="F100" s="125" t="s">
        <v>43</v>
      </c>
      <c r="G100" s="125" t="s">
        <v>288</v>
      </c>
      <c r="H100" s="125" t="s">
        <v>208</v>
      </c>
      <c r="I100" s="126" t="s">
        <v>296</v>
      </c>
    </row>
    <row r="101" customFormat="false" ht="15" hidden="false" customHeight="true" outlineLevel="0" collapsed="false">
      <c r="A101" s="125" t="s">
        <v>6</v>
      </c>
      <c r="B101" s="126" t="s">
        <v>116</v>
      </c>
      <c r="C101" s="125" t="s">
        <v>205</v>
      </c>
      <c r="D101" s="125" t="s">
        <v>287</v>
      </c>
      <c r="E101" s="125" t="n">
        <v>10.6</v>
      </c>
      <c r="F101" s="125" t="s">
        <v>43</v>
      </c>
      <c r="G101" s="125" t="s">
        <v>288</v>
      </c>
      <c r="H101" s="125" t="s">
        <v>208</v>
      </c>
      <c r="I101" s="126" t="s">
        <v>297</v>
      </c>
    </row>
    <row r="102" customFormat="false" ht="15" hidden="false" customHeight="true" outlineLevel="0" collapsed="false">
      <c r="A102" s="125" t="s">
        <v>7</v>
      </c>
      <c r="B102" s="126" t="s">
        <v>116</v>
      </c>
      <c r="C102" s="125" t="s">
        <v>205</v>
      </c>
      <c r="D102" s="125" t="s">
        <v>287</v>
      </c>
      <c r="E102" s="125" t="n">
        <v>-16.97</v>
      </c>
      <c r="F102" s="125" t="s">
        <v>43</v>
      </c>
      <c r="G102" s="125" t="s">
        <v>288</v>
      </c>
      <c r="H102" s="125" t="s">
        <v>208</v>
      </c>
      <c r="I102" s="126" t="s">
        <v>298</v>
      </c>
    </row>
    <row r="103" customFormat="false" ht="15" hidden="false" customHeight="true" outlineLevel="0" collapsed="false">
      <c r="A103" s="125" t="s">
        <v>100</v>
      </c>
      <c r="B103" s="126" t="s">
        <v>116</v>
      </c>
      <c r="C103" s="125" t="s">
        <v>205</v>
      </c>
      <c r="D103" s="125" t="s">
        <v>287</v>
      </c>
      <c r="E103" s="125" t="n">
        <v>5.88</v>
      </c>
      <c r="F103" s="125" t="s">
        <v>43</v>
      </c>
      <c r="G103" s="125" t="s">
        <v>288</v>
      </c>
      <c r="H103" s="125" t="s">
        <v>213</v>
      </c>
      <c r="I103" s="126" t="s">
        <v>299</v>
      </c>
    </row>
    <row r="104" customFormat="false" ht="15" hidden="false" customHeight="true" outlineLevel="0" collapsed="false">
      <c r="A104" s="125" t="s">
        <v>5</v>
      </c>
      <c r="B104" s="126" t="s">
        <v>117</v>
      </c>
      <c r="C104" s="125" t="s">
        <v>205</v>
      </c>
      <c r="D104" s="125" t="s">
        <v>287</v>
      </c>
      <c r="E104" s="125" t="n">
        <v>4.59</v>
      </c>
      <c r="F104" s="125" t="s">
        <v>43</v>
      </c>
      <c r="G104" s="125" t="s">
        <v>288</v>
      </c>
      <c r="H104" s="125" t="s">
        <v>208</v>
      </c>
      <c r="I104" s="126" t="s">
        <v>300</v>
      </c>
    </row>
    <row r="105" customFormat="false" ht="15" hidden="false" customHeight="true" outlineLevel="0" collapsed="false">
      <c r="A105" s="125" t="s">
        <v>6</v>
      </c>
      <c r="B105" s="126" t="s">
        <v>117</v>
      </c>
      <c r="C105" s="125" t="s">
        <v>205</v>
      </c>
      <c r="D105" s="125" t="s">
        <v>287</v>
      </c>
      <c r="E105" s="125" t="n">
        <v>-13.54</v>
      </c>
      <c r="F105" s="125" t="s">
        <v>43</v>
      </c>
      <c r="G105" s="125" t="s">
        <v>288</v>
      </c>
      <c r="H105" s="125" t="s">
        <v>208</v>
      </c>
      <c r="I105" s="126" t="s">
        <v>301</v>
      </c>
    </row>
    <row r="106" customFormat="false" ht="15" hidden="false" customHeight="true" outlineLevel="0" collapsed="false">
      <c r="A106" s="125" t="s">
        <v>7</v>
      </c>
      <c r="B106" s="126" t="s">
        <v>117</v>
      </c>
      <c r="C106" s="125" t="s">
        <v>205</v>
      </c>
      <c r="D106" s="125" t="s">
        <v>287</v>
      </c>
      <c r="E106" s="125" t="n">
        <v>-31.17</v>
      </c>
      <c r="F106" s="125" t="s">
        <v>43</v>
      </c>
      <c r="G106" s="125" t="s">
        <v>288</v>
      </c>
      <c r="H106" s="125" t="s">
        <v>208</v>
      </c>
      <c r="I106" s="126" t="s">
        <v>301</v>
      </c>
    </row>
    <row r="107" customFormat="false" ht="15" hidden="false" customHeight="true" outlineLevel="0" collapsed="false">
      <c r="A107" s="125" t="s">
        <v>100</v>
      </c>
      <c r="B107" s="126" t="s">
        <v>117</v>
      </c>
      <c r="C107" s="125" t="s">
        <v>205</v>
      </c>
      <c r="D107" s="125" t="s">
        <v>287</v>
      </c>
      <c r="E107" s="125" t="n">
        <v>50.11</v>
      </c>
      <c r="F107" s="125" t="s">
        <v>43</v>
      </c>
      <c r="G107" s="125" t="s">
        <v>288</v>
      </c>
      <c r="H107" s="125" t="s">
        <v>213</v>
      </c>
      <c r="I107" s="126" t="s">
        <v>302</v>
      </c>
    </row>
    <row r="108" customFormat="false" ht="15" hidden="false" customHeight="true" outlineLevel="0" collapsed="false">
      <c r="A108" s="125" t="s">
        <v>4</v>
      </c>
      <c r="B108" s="126" t="s">
        <v>52</v>
      </c>
      <c r="C108" s="125" t="s">
        <v>303</v>
      </c>
      <c r="D108" s="125" t="s">
        <v>304</v>
      </c>
      <c r="E108" s="125" t="n">
        <v>6110</v>
      </c>
      <c r="F108" s="125" t="s">
        <v>11</v>
      </c>
      <c r="G108" s="125" t="s">
        <v>207</v>
      </c>
      <c r="H108" s="125" t="s">
        <v>208</v>
      </c>
      <c r="I108" s="126" t="s">
        <v>305</v>
      </c>
    </row>
    <row r="109" customFormat="false" ht="15" hidden="false" customHeight="true" outlineLevel="0" collapsed="false">
      <c r="A109" s="125" t="s">
        <v>5</v>
      </c>
      <c r="B109" s="126" t="s">
        <v>52</v>
      </c>
      <c r="C109" s="125" t="s">
        <v>303</v>
      </c>
      <c r="D109" s="125" t="s">
        <v>304</v>
      </c>
      <c r="E109" s="125" t="n">
        <v>6375</v>
      </c>
      <c r="F109" s="125" t="s">
        <v>11</v>
      </c>
      <c r="G109" s="125" t="s">
        <v>207</v>
      </c>
      <c r="H109" s="125" t="s">
        <v>208</v>
      </c>
      <c r="I109" s="126" t="s">
        <v>306</v>
      </c>
    </row>
    <row r="110" customFormat="false" ht="15" hidden="false" customHeight="true" outlineLevel="0" collapsed="false">
      <c r="A110" s="125" t="s">
        <v>6</v>
      </c>
      <c r="B110" s="126" t="s">
        <v>52</v>
      </c>
      <c r="C110" s="125" t="s">
        <v>303</v>
      </c>
      <c r="D110" s="125" t="s">
        <v>304</v>
      </c>
      <c r="E110" s="125" t="n">
        <v>6991</v>
      </c>
      <c r="F110" s="125" t="s">
        <v>11</v>
      </c>
      <c r="G110" s="125" t="s">
        <v>207</v>
      </c>
      <c r="H110" s="125" t="s">
        <v>208</v>
      </c>
      <c r="I110" s="126" t="s">
        <v>307</v>
      </c>
    </row>
    <row r="111" customFormat="false" ht="15" hidden="false" customHeight="true" outlineLevel="0" collapsed="false">
      <c r="A111" s="125" t="s">
        <v>7</v>
      </c>
      <c r="B111" s="126" t="s">
        <v>52</v>
      </c>
      <c r="C111" s="125" t="s">
        <v>303</v>
      </c>
      <c r="D111" s="125" t="s">
        <v>304</v>
      </c>
      <c r="E111" s="125" t="n">
        <v>6991</v>
      </c>
      <c r="F111" s="125" t="s">
        <v>11</v>
      </c>
      <c r="G111" s="125" t="s">
        <v>207</v>
      </c>
      <c r="H111" s="125" t="s">
        <v>208</v>
      </c>
      <c r="I111" s="126" t="s">
        <v>307</v>
      </c>
    </row>
    <row r="112" customFormat="false" ht="15" hidden="false" customHeight="true" outlineLevel="0" collapsed="false">
      <c r="A112" s="125" t="s">
        <v>100</v>
      </c>
      <c r="B112" s="126" t="s">
        <v>52</v>
      </c>
      <c r="C112" s="125" t="s">
        <v>303</v>
      </c>
      <c r="D112" s="125" t="s">
        <v>304</v>
      </c>
      <c r="E112" s="125" t="n">
        <v>7305.6</v>
      </c>
      <c r="F112" s="125" t="s">
        <v>11</v>
      </c>
      <c r="G112" s="125" t="s">
        <v>207</v>
      </c>
      <c r="H112" s="125" t="s">
        <v>213</v>
      </c>
      <c r="I112" s="126" t="s">
        <v>308</v>
      </c>
    </row>
    <row r="113" customFormat="false" ht="15" hidden="false" customHeight="true" outlineLevel="0" collapsed="false">
      <c r="A113" s="125" t="s">
        <v>4</v>
      </c>
      <c r="B113" s="126" t="s">
        <v>53</v>
      </c>
      <c r="C113" s="125" t="s">
        <v>303</v>
      </c>
      <c r="D113" s="125" t="s">
        <v>304</v>
      </c>
      <c r="E113" s="125" t="n">
        <v>27163</v>
      </c>
      <c r="F113" s="125" t="s">
        <v>11</v>
      </c>
      <c r="G113" s="125" t="s">
        <v>207</v>
      </c>
      <c r="H113" s="125" t="s">
        <v>208</v>
      </c>
      <c r="I113" s="126" t="s">
        <v>309</v>
      </c>
    </row>
    <row r="114" customFormat="false" ht="15" hidden="false" customHeight="true" outlineLevel="0" collapsed="false">
      <c r="A114" s="125" t="s">
        <v>5</v>
      </c>
      <c r="B114" s="126" t="s">
        <v>53</v>
      </c>
      <c r="C114" s="125" t="s">
        <v>303</v>
      </c>
      <c r="D114" s="125" t="s">
        <v>304</v>
      </c>
      <c r="E114" s="125" t="n">
        <v>27273</v>
      </c>
      <c r="F114" s="125" t="s">
        <v>11</v>
      </c>
      <c r="G114" s="125" t="s">
        <v>207</v>
      </c>
      <c r="H114" s="125" t="s">
        <v>208</v>
      </c>
      <c r="I114" s="126" t="s">
        <v>310</v>
      </c>
    </row>
    <row r="115" customFormat="false" ht="15" hidden="false" customHeight="true" outlineLevel="0" collapsed="false">
      <c r="A115" s="125" t="s">
        <v>6</v>
      </c>
      <c r="B115" s="126" t="s">
        <v>53</v>
      </c>
      <c r="C115" s="125" t="s">
        <v>303</v>
      </c>
      <c r="D115" s="125" t="s">
        <v>304</v>
      </c>
      <c r="E115" s="125" t="n">
        <v>26945</v>
      </c>
      <c r="F115" s="125" t="s">
        <v>11</v>
      </c>
      <c r="G115" s="125" t="s">
        <v>207</v>
      </c>
      <c r="H115" s="125" t="s">
        <v>208</v>
      </c>
      <c r="I115" s="126" t="s">
        <v>311</v>
      </c>
    </row>
    <row r="116" customFormat="false" ht="15" hidden="false" customHeight="true" outlineLevel="0" collapsed="false">
      <c r="A116" s="125" t="s">
        <v>7</v>
      </c>
      <c r="B116" s="126" t="s">
        <v>53</v>
      </c>
      <c r="C116" s="125" t="s">
        <v>303</v>
      </c>
      <c r="D116" s="125" t="s">
        <v>304</v>
      </c>
      <c r="E116" s="125" t="n">
        <v>26838</v>
      </c>
      <c r="F116" s="125" t="s">
        <v>11</v>
      </c>
      <c r="G116" s="125" t="s">
        <v>207</v>
      </c>
      <c r="H116" s="125" t="s">
        <v>208</v>
      </c>
      <c r="I116" s="126" t="s">
        <v>312</v>
      </c>
    </row>
    <row r="117" customFormat="false" ht="15" hidden="false" customHeight="true" outlineLevel="0" collapsed="false">
      <c r="A117" s="125" t="s">
        <v>100</v>
      </c>
      <c r="B117" s="126" t="s">
        <v>53</v>
      </c>
      <c r="C117" s="125" t="s">
        <v>303</v>
      </c>
      <c r="D117" s="125" t="s">
        <v>304</v>
      </c>
      <c r="E117" s="125" t="n">
        <v>26972.19</v>
      </c>
      <c r="F117" s="125" t="s">
        <v>11</v>
      </c>
      <c r="G117" s="125" t="s">
        <v>207</v>
      </c>
      <c r="H117" s="125" t="s">
        <v>213</v>
      </c>
      <c r="I117" s="126" t="s">
        <v>313</v>
      </c>
    </row>
    <row r="118" customFormat="false" ht="15" hidden="false" customHeight="true" outlineLevel="0" collapsed="false">
      <c r="A118" s="125" t="s">
        <v>4</v>
      </c>
      <c r="B118" s="126" t="s">
        <v>54</v>
      </c>
      <c r="C118" s="125" t="s">
        <v>303</v>
      </c>
      <c r="D118" s="125" t="s">
        <v>304</v>
      </c>
      <c r="E118" s="125" t="n">
        <v>33273</v>
      </c>
      <c r="F118" s="125" t="s">
        <v>11</v>
      </c>
      <c r="G118" s="125" t="s">
        <v>207</v>
      </c>
      <c r="H118" s="125" t="s">
        <v>208</v>
      </c>
      <c r="I118" s="126" t="s">
        <v>314</v>
      </c>
    </row>
    <row r="119" customFormat="false" ht="15" hidden="false" customHeight="true" outlineLevel="0" collapsed="false">
      <c r="A119" s="125" t="s">
        <v>5</v>
      </c>
      <c r="B119" s="126" t="s">
        <v>54</v>
      </c>
      <c r="C119" s="125" t="s">
        <v>303</v>
      </c>
      <c r="D119" s="125" t="s">
        <v>304</v>
      </c>
      <c r="E119" s="125" t="n">
        <v>33648</v>
      </c>
      <c r="F119" s="125" t="s">
        <v>11</v>
      </c>
      <c r="G119" s="125" t="s">
        <v>207</v>
      </c>
      <c r="H119" s="125" t="s">
        <v>208</v>
      </c>
      <c r="I119" s="126" t="s">
        <v>315</v>
      </c>
    </row>
    <row r="120" customFormat="false" ht="15" hidden="false" customHeight="true" outlineLevel="0" collapsed="false">
      <c r="A120" s="125" t="s">
        <v>6</v>
      </c>
      <c r="B120" s="126" t="s">
        <v>54</v>
      </c>
      <c r="C120" s="125" t="s">
        <v>303</v>
      </c>
      <c r="D120" s="125" t="s">
        <v>304</v>
      </c>
      <c r="E120" s="125" t="n">
        <v>33936</v>
      </c>
      <c r="F120" s="125" t="s">
        <v>11</v>
      </c>
      <c r="G120" s="125" t="s">
        <v>207</v>
      </c>
      <c r="H120" s="125" t="s">
        <v>208</v>
      </c>
      <c r="I120" s="126" t="s">
        <v>316</v>
      </c>
    </row>
    <row r="121" customFormat="false" ht="15" hidden="false" customHeight="true" outlineLevel="0" collapsed="false">
      <c r="A121" s="125" t="s">
        <v>7</v>
      </c>
      <c r="B121" s="126" t="s">
        <v>54</v>
      </c>
      <c r="C121" s="125" t="s">
        <v>303</v>
      </c>
      <c r="D121" s="125" t="s">
        <v>304</v>
      </c>
      <c r="E121" s="125" t="n">
        <v>33829</v>
      </c>
      <c r="F121" s="125" t="s">
        <v>11</v>
      </c>
      <c r="G121" s="125" t="s">
        <v>207</v>
      </c>
      <c r="H121" s="125" t="s">
        <v>208</v>
      </c>
      <c r="I121" s="126" t="s">
        <v>317</v>
      </c>
    </row>
    <row r="122" customFormat="false" ht="15" hidden="false" customHeight="true" outlineLevel="0" collapsed="false">
      <c r="A122" s="125" t="s">
        <v>100</v>
      </c>
      <c r="B122" s="126" t="s">
        <v>54</v>
      </c>
      <c r="C122" s="125" t="s">
        <v>303</v>
      </c>
      <c r="D122" s="125" t="s">
        <v>304</v>
      </c>
      <c r="E122" s="125" t="n">
        <v>34277.79</v>
      </c>
      <c r="F122" s="125" t="s">
        <v>11</v>
      </c>
      <c r="G122" s="125" t="s">
        <v>207</v>
      </c>
      <c r="H122" s="125" t="s">
        <v>213</v>
      </c>
      <c r="I122" s="126" t="s">
        <v>318</v>
      </c>
    </row>
    <row r="123" customFormat="false" ht="15" hidden="false" customHeight="true" outlineLevel="0" collapsed="false">
      <c r="A123" s="125" t="s">
        <v>4</v>
      </c>
      <c r="B123" s="126" t="s">
        <v>55</v>
      </c>
      <c r="C123" s="125" t="s">
        <v>303</v>
      </c>
      <c r="D123" s="125" t="s">
        <v>319</v>
      </c>
      <c r="E123" s="125" t="n">
        <v>10750</v>
      </c>
      <c r="F123" s="125" t="s">
        <v>11</v>
      </c>
      <c r="G123" s="125" t="s">
        <v>207</v>
      </c>
      <c r="H123" s="125" t="s">
        <v>208</v>
      </c>
      <c r="I123" s="126" t="s">
        <v>320</v>
      </c>
    </row>
    <row r="124" customFormat="false" ht="15" hidden="false" customHeight="true" outlineLevel="0" collapsed="false">
      <c r="A124" s="125" t="s">
        <v>5</v>
      </c>
      <c r="B124" s="126" t="s">
        <v>55</v>
      </c>
      <c r="C124" s="125" t="s">
        <v>303</v>
      </c>
      <c r="D124" s="125" t="s">
        <v>319</v>
      </c>
      <c r="E124" s="125" t="n">
        <v>11886</v>
      </c>
      <c r="F124" s="125" t="s">
        <v>11</v>
      </c>
      <c r="G124" s="125" t="s">
        <v>207</v>
      </c>
      <c r="H124" s="125" t="s">
        <v>208</v>
      </c>
      <c r="I124" s="126" t="s">
        <v>321</v>
      </c>
    </row>
    <row r="125" customFormat="false" ht="15" hidden="false" customHeight="true" outlineLevel="0" collapsed="false">
      <c r="A125" s="125" t="s">
        <v>6</v>
      </c>
      <c r="B125" s="126" t="s">
        <v>55</v>
      </c>
      <c r="C125" s="125" t="s">
        <v>303</v>
      </c>
      <c r="D125" s="125" t="s">
        <v>319</v>
      </c>
      <c r="E125" s="125" t="n">
        <v>12819</v>
      </c>
      <c r="F125" s="125" t="s">
        <v>11</v>
      </c>
      <c r="G125" s="125" t="s">
        <v>207</v>
      </c>
      <c r="H125" s="125" t="s">
        <v>208</v>
      </c>
      <c r="I125" s="126" t="s">
        <v>322</v>
      </c>
    </row>
    <row r="126" customFormat="false" ht="15" hidden="false" customHeight="true" outlineLevel="0" collapsed="false">
      <c r="A126" s="125" t="s">
        <v>7</v>
      </c>
      <c r="B126" s="126" t="s">
        <v>55</v>
      </c>
      <c r="C126" s="125" t="s">
        <v>303</v>
      </c>
      <c r="D126" s="125" t="s">
        <v>319</v>
      </c>
      <c r="E126" s="125" t="n">
        <v>12297</v>
      </c>
      <c r="F126" s="125" t="s">
        <v>11</v>
      </c>
      <c r="G126" s="125" t="s">
        <v>207</v>
      </c>
      <c r="H126" s="125" t="s">
        <v>208</v>
      </c>
      <c r="I126" s="126" t="s">
        <v>323</v>
      </c>
    </row>
    <row r="127" customFormat="false" ht="15" hidden="false" customHeight="true" outlineLevel="0" collapsed="false">
      <c r="A127" s="125" t="s">
        <v>100</v>
      </c>
      <c r="B127" s="126" t="s">
        <v>55</v>
      </c>
      <c r="C127" s="125" t="s">
        <v>303</v>
      </c>
      <c r="D127" s="125" t="s">
        <v>319</v>
      </c>
      <c r="E127" s="125" t="n">
        <v>12850.37</v>
      </c>
      <c r="F127" s="125" t="s">
        <v>11</v>
      </c>
      <c r="G127" s="125" t="s">
        <v>207</v>
      </c>
      <c r="H127" s="125" t="s">
        <v>213</v>
      </c>
      <c r="I127" s="126" t="s">
        <v>324</v>
      </c>
    </row>
    <row r="128" customFormat="false" ht="15" hidden="false" customHeight="true" outlineLevel="0" collapsed="false">
      <c r="A128" s="125" t="s">
        <v>4</v>
      </c>
      <c r="B128" s="126" t="s">
        <v>56</v>
      </c>
      <c r="C128" s="125" t="s">
        <v>303</v>
      </c>
      <c r="D128" s="125" t="s">
        <v>319</v>
      </c>
      <c r="E128" s="125" t="n">
        <v>16419</v>
      </c>
      <c r="F128" s="125" t="s">
        <v>11</v>
      </c>
      <c r="G128" s="125" t="s">
        <v>207</v>
      </c>
      <c r="H128" s="125" t="s">
        <v>208</v>
      </c>
      <c r="I128" s="126" t="s">
        <v>325</v>
      </c>
    </row>
    <row r="129" customFormat="false" ht="15" hidden="false" customHeight="true" outlineLevel="0" collapsed="false">
      <c r="A129" s="125" t="s">
        <v>5</v>
      </c>
      <c r="B129" s="126" t="s">
        <v>56</v>
      </c>
      <c r="C129" s="125" t="s">
        <v>303</v>
      </c>
      <c r="D129" s="125" t="s">
        <v>319</v>
      </c>
      <c r="E129" s="125" t="n">
        <v>15197</v>
      </c>
      <c r="F129" s="125" t="s">
        <v>11</v>
      </c>
      <c r="G129" s="125" t="s">
        <v>207</v>
      </c>
      <c r="H129" s="125" t="s">
        <v>208</v>
      </c>
      <c r="I129" s="126" t="s">
        <v>326</v>
      </c>
    </row>
    <row r="130" customFormat="false" ht="15" hidden="false" customHeight="true" outlineLevel="0" collapsed="false">
      <c r="A130" s="125" t="s">
        <v>6</v>
      </c>
      <c r="B130" s="126" t="s">
        <v>56</v>
      </c>
      <c r="C130" s="125" t="s">
        <v>303</v>
      </c>
      <c r="D130" s="125" t="s">
        <v>319</v>
      </c>
      <c r="E130" s="125" t="n">
        <v>15547</v>
      </c>
      <c r="F130" s="125" t="s">
        <v>11</v>
      </c>
      <c r="G130" s="125" t="s">
        <v>207</v>
      </c>
      <c r="H130" s="125" t="s">
        <v>208</v>
      </c>
      <c r="I130" s="126" t="s">
        <v>327</v>
      </c>
    </row>
    <row r="131" customFormat="false" ht="15" hidden="false" customHeight="true" outlineLevel="0" collapsed="false">
      <c r="A131" s="125" t="s">
        <v>7</v>
      </c>
      <c r="B131" s="126" t="s">
        <v>56</v>
      </c>
      <c r="C131" s="125" t="s">
        <v>303</v>
      </c>
      <c r="D131" s="125" t="s">
        <v>319</v>
      </c>
      <c r="E131" s="125" t="n">
        <v>16570</v>
      </c>
      <c r="F131" s="125" t="s">
        <v>11</v>
      </c>
      <c r="G131" s="125" t="s">
        <v>207</v>
      </c>
      <c r="H131" s="125" t="s">
        <v>208</v>
      </c>
      <c r="I131" s="126" t="s">
        <v>328</v>
      </c>
    </row>
    <row r="132" customFormat="false" ht="15" hidden="false" customHeight="true" outlineLevel="0" collapsed="false">
      <c r="A132" s="125" t="s">
        <v>100</v>
      </c>
      <c r="B132" s="126" t="s">
        <v>56</v>
      </c>
      <c r="C132" s="125" t="s">
        <v>303</v>
      </c>
      <c r="D132" s="125" t="s">
        <v>319</v>
      </c>
      <c r="E132" s="125" t="n">
        <v>16619.71</v>
      </c>
      <c r="F132" s="125" t="s">
        <v>11</v>
      </c>
      <c r="G132" s="125" t="s">
        <v>207</v>
      </c>
      <c r="H132" s="125" t="s">
        <v>213</v>
      </c>
      <c r="I132" s="126" t="s">
        <v>329</v>
      </c>
    </row>
    <row r="133" customFormat="false" ht="15" hidden="false" customHeight="true" outlineLevel="0" collapsed="false">
      <c r="A133" s="125" t="s">
        <v>4</v>
      </c>
      <c r="B133" s="126" t="s">
        <v>57</v>
      </c>
      <c r="C133" s="125" t="s">
        <v>303</v>
      </c>
      <c r="D133" s="125" t="s">
        <v>319</v>
      </c>
      <c r="E133" s="125" t="n">
        <v>27169</v>
      </c>
      <c r="F133" s="125" t="s">
        <v>11</v>
      </c>
      <c r="G133" s="125" t="s">
        <v>207</v>
      </c>
      <c r="H133" s="125" t="s">
        <v>208</v>
      </c>
      <c r="I133" s="126" t="s">
        <v>330</v>
      </c>
    </row>
    <row r="134" customFormat="false" ht="15" hidden="false" customHeight="true" outlineLevel="0" collapsed="false">
      <c r="A134" s="125" t="s">
        <v>5</v>
      </c>
      <c r="B134" s="126" t="s">
        <v>57</v>
      </c>
      <c r="C134" s="125" t="s">
        <v>303</v>
      </c>
      <c r="D134" s="125" t="s">
        <v>319</v>
      </c>
      <c r="E134" s="125" t="n">
        <v>27083</v>
      </c>
      <c r="F134" s="125" t="s">
        <v>11</v>
      </c>
      <c r="G134" s="125" t="s">
        <v>207</v>
      </c>
      <c r="H134" s="125" t="s">
        <v>208</v>
      </c>
      <c r="I134" s="126" t="s">
        <v>331</v>
      </c>
    </row>
    <row r="135" customFormat="false" ht="15" hidden="false" customHeight="true" outlineLevel="0" collapsed="false">
      <c r="A135" s="125" t="s">
        <v>6</v>
      </c>
      <c r="B135" s="126" t="s">
        <v>57</v>
      </c>
      <c r="C135" s="125" t="s">
        <v>303</v>
      </c>
      <c r="D135" s="125" t="s">
        <v>319</v>
      </c>
      <c r="E135" s="125" t="n">
        <v>28366</v>
      </c>
      <c r="F135" s="125" t="s">
        <v>11</v>
      </c>
      <c r="G135" s="125" t="s">
        <v>207</v>
      </c>
      <c r="H135" s="125" t="s">
        <v>208</v>
      </c>
      <c r="I135" s="126" t="s">
        <v>332</v>
      </c>
    </row>
    <row r="136" customFormat="false" ht="15" hidden="false" customHeight="true" outlineLevel="0" collapsed="false">
      <c r="A136" s="125" t="s">
        <v>7</v>
      </c>
      <c r="B136" s="126" t="s">
        <v>57</v>
      </c>
      <c r="C136" s="125" t="s">
        <v>303</v>
      </c>
      <c r="D136" s="125" t="s">
        <v>319</v>
      </c>
      <c r="E136" s="125" t="n">
        <v>28867</v>
      </c>
      <c r="F136" s="125" t="s">
        <v>11</v>
      </c>
      <c r="G136" s="125" t="s">
        <v>207</v>
      </c>
      <c r="H136" s="125" t="s">
        <v>208</v>
      </c>
      <c r="I136" s="126" t="s">
        <v>333</v>
      </c>
    </row>
    <row r="137" customFormat="false" ht="15" hidden="false" customHeight="true" outlineLevel="0" collapsed="false">
      <c r="A137" s="125" t="s">
        <v>100</v>
      </c>
      <c r="B137" s="126" t="s">
        <v>57</v>
      </c>
      <c r="C137" s="125" t="s">
        <v>303</v>
      </c>
      <c r="D137" s="125" t="s">
        <v>319</v>
      </c>
      <c r="E137" s="125" t="n">
        <v>29470.08</v>
      </c>
      <c r="F137" s="125" t="s">
        <v>11</v>
      </c>
      <c r="G137" s="125" t="s">
        <v>207</v>
      </c>
      <c r="H137" s="125" t="s">
        <v>213</v>
      </c>
      <c r="I137" s="126" t="s">
        <v>334</v>
      </c>
    </row>
    <row r="138" customFormat="false" ht="15" hidden="false" customHeight="true" outlineLevel="0" collapsed="false">
      <c r="A138" s="125" t="s">
        <v>4</v>
      </c>
      <c r="B138" s="126" t="s">
        <v>58</v>
      </c>
      <c r="C138" s="125" t="s">
        <v>303</v>
      </c>
      <c r="D138" s="125" t="s">
        <v>335</v>
      </c>
      <c r="E138" s="125" t="n">
        <v>6104</v>
      </c>
      <c r="F138" s="125" t="s">
        <v>11</v>
      </c>
      <c r="G138" s="125" t="s">
        <v>207</v>
      </c>
      <c r="H138" s="125" t="s">
        <v>208</v>
      </c>
      <c r="I138" s="126" t="s">
        <v>336</v>
      </c>
    </row>
    <row r="139" customFormat="false" ht="15" hidden="false" customHeight="true" outlineLevel="0" collapsed="false">
      <c r="A139" s="125" t="s">
        <v>5</v>
      </c>
      <c r="B139" s="126" t="s">
        <v>58</v>
      </c>
      <c r="C139" s="125" t="s">
        <v>303</v>
      </c>
      <c r="D139" s="125" t="s">
        <v>335</v>
      </c>
      <c r="E139" s="125" t="n">
        <v>6565</v>
      </c>
      <c r="F139" s="125" t="s">
        <v>11</v>
      </c>
      <c r="G139" s="125" t="s">
        <v>207</v>
      </c>
      <c r="H139" s="125" t="s">
        <v>208</v>
      </c>
      <c r="I139" s="126" t="s">
        <v>337</v>
      </c>
    </row>
    <row r="140" customFormat="false" ht="15" hidden="false" customHeight="true" outlineLevel="0" collapsed="false">
      <c r="A140" s="125" t="s">
        <v>6</v>
      </c>
      <c r="B140" s="126" t="s">
        <v>58</v>
      </c>
      <c r="C140" s="125" t="s">
        <v>303</v>
      </c>
      <c r="D140" s="125" t="s">
        <v>335</v>
      </c>
      <c r="E140" s="125" t="n">
        <v>5570</v>
      </c>
      <c r="F140" s="125" t="s">
        <v>11</v>
      </c>
      <c r="G140" s="125" t="s">
        <v>207</v>
      </c>
      <c r="H140" s="125" t="s">
        <v>208</v>
      </c>
      <c r="I140" s="126" t="s">
        <v>338</v>
      </c>
    </row>
    <row r="141" customFormat="false" ht="15" hidden="false" customHeight="true" outlineLevel="0" collapsed="false">
      <c r="A141" s="125" t="s">
        <v>7</v>
      </c>
      <c r="B141" s="126" t="s">
        <v>58</v>
      </c>
      <c r="C141" s="125" t="s">
        <v>303</v>
      </c>
      <c r="D141" s="125" t="s">
        <v>335</v>
      </c>
      <c r="E141" s="125" t="n">
        <v>4962</v>
      </c>
      <c r="F141" s="125" t="s">
        <v>11</v>
      </c>
      <c r="G141" s="125" t="s">
        <v>207</v>
      </c>
      <c r="H141" s="125" t="s">
        <v>208</v>
      </c>
      <c r="I141" s="126" t="s">
        <v>339</v>
      </c>
    </row>
    <row r="142" customFormat="false" ht="15" hidden="false" customHeight="true" outlineLevel="0" collapsed="false">
      <c r="A142" s="125" t="s">
        <v>100</v>
      </c>
      <c r="B142" s="126" t="s">
        <v>58</v>
      </c>
      <c r="C142" s="125" t="s">
        <v>303</v>
      </c>
      <c r="D142" s="125" t="s">
        <v>335</v>
      </c>
      <c r="E142" s="125" t="n">
        <v>4807.71</v>
      </c>
      <c r="F142" s="125" t="s">
        <v>11</v>
      </c>
      <c r="G142" s="125" t="s">
        <v>207</v>
      </c>
      <c r="H142" s="125" t="s">
        <v>213</v>
      </c>
      <c r="I142" s="126" t="s">
        <v>340</v>
      </c>
    </row>
    <row r="143" customFormat="false" ht="15" hidden="false" customHeight="true" outlineLevel="0" collapsed="false">
      <c r="A143" s="125" t="s">
        <v>4</v>
      </c>
      <c r="B143" s="126" t="s">
        <v>133</v>
      </c>
      <c r="C143" s="125" t="s">
        <v>303</v>
      </c>
      <c r="D143" s="125" t="s">
        <v>341</v>
      </c>
      <c r="E143" s="125" t="n">
        <v>18.35</v>
      </c>
      <c r="F143" s="125" t="s">
        <v>43</v>
      </c>
      <c r="G143" s="125" t="s">
        <v>342</v>
      </c>
      <c r="H143" s="125" t="s">
        <v>208</v>
      </c>
      <c r="I143" s="126" t="s">
        <v>343</v>
      </c>
    </row>
    <row r="144" customFormat="false" ht="15" hidden="false" customHeight="true" outlineLevel="0" collapsed="false">
      <c r="A144" s="125" t="s">
        <v>5</v>
      </c>
      <c r="B144" s="126" t="s">
        <v>133</v>
      </c>
      <c r="C144" s="125" t="s">
        <v>303</v>
      </c>
      <c r="D144" s="125" t="s">
        <v>341</v>
      </c>
      <c r="E144" s="125" t="n">
        <v>19.51</v>
      </c>
      <c r="F144" s="125" t="s">
        <v>43</v>
      </c>
      <c r="G144" s="125" t="s">
        <v>342</v>
      </c>
      <c r="H144" s="125" t="s">
        <v>208</v>
      </c>
      <c r="I144" s="126" t="s">
        <v>344</v>
      </c>
    </row>
    <row r="145" customFormat="false" ht="15" hidden="false" customHeight="true" outlineLevel="0" collapsed="false">
      <c r="A145" s="125" t="s">
        <v>6</v>
      </c>
      <c r="B145" s="126" t="s">
        <v>133</v>
      </c>
      <c r="C145" s="125" t="s">
        <v>303</v>
      </c>
      <c r="D145" s="125" t="s">
        <v>341</v>
      </c>
      <c r="E145" s="125" t="n">
        <v>16.41</v>
      </c>
      <c r="F145" s="125" t="s">
        <v>43</v>
      </c>
      <c r="G145" s="125" t="s">
        <v>342</v>
      </c>
      <c r="H145" s="125" t="s">
        <v>208</v>
      </c>
      <c r="I145" s="126" t="s">
        <v>345</v>
      </c>
    </row>
    <row r="146" customFormat="false" ht="15" hidden="false" customHeight="true" outlineLevel="0" collapsed="false">
      <c r="A146" s="125" t="s">
        <v>7</v>
      </c>
      <c r="B146" s="126" t="s">
        <v>133</v>
      </c>
      <c r="C146" s="125" t="s">
        <v>303</v>
      </c>
      <c r="D146" s="125" t="s">
        <v>341</v>
      </c>
      <c r="E146" s="125" t="n">
        <v>14.67</v>
      </c>
      <c r="F146" s="125" t="s">
        <v>43</v>
      </c>
      <c r="G146" s="125" t="s">
        <v>342</v>
      </c>
      <c r="H146" s="125" t="s">
        <v>208</v>
      </c>
      <c r="I146" s="126" t="s">
        <v>346</v>
      </c>
    </row>
    <row r="147" customFormat="false" ht="15" hidden="false" customHeight="true" outlineLevel="0" collapsed="false">
      <c r="A147" s="125" t="s">
        <v>100</v>
      </c>
      <c r="B147" s="126" t="s">
        <v>133</v>
      </c>
      <c r="C147" s="125" t="s">
        <v>303</v>
      </c>
      <c r="D147" s="125" t="s">
        <v>341</v>
      </c>
      <c r="E147" s="125" t="n">
        <v>14.03</v>
      </c>
      <c r="F147" s="125" t="s">
        <v>43</v>
      </c>
      <c r="G147" s="125" t="s">
        <v>342</v>
      </c>
      <c r="H147" s="125" t="s">
        <v>213</v>
      </c>
      <c r="I147" s="126" t="s">
        <v>347</v>
      </c>
    </row>
    <row r="148" customFormat="false" ht="15" hidden="false" customHeight="true" outlineLevel="0" collapsed="false">
      <c r="A148" s="125" t="s">
        <v>4</v>
      </c>
      <c r="B148" s="126" t="s">
        <v>348</v>
      </c>
      <c r="C148" s="125" t="s">
        <v>303</v>
      </c>
      <c r="D148" s="125" t="s">
        <v>341</v>
      </c>
      <c r="E148" s="125" t="n">
        <v>4.451</v>
      </c>
      <c r="F148" s="125" t="s">
        <v>349</v>
      </c>
      <c r="G148" s="125" t="s">
        <v>342</v>
      </c>
      <c r="H148" s="125" t="s">
        <v>208</v>
      </c>
      <c r="I148" s="126" t="s">
        <v>350</v>
      </c>
    </row>
    <row r="149" customFormat="false" ht="15" hidden="false" customHeight="true" outlineLevel="0" collapsed="false">
      <c r="A149" s="125" t="s">
        <v>5</v>
      </c>
      <c r="B149" s="126" t="s">
        <v>348</v>
      </c>
      <c r="C149" s="125" t="s">
        <v>303</v>
      </c>
      <c r="D149" s="125" t="s">
        <v>341</v>
      </c>
      <c r="E149" s="125" t="n">
        <v>4.125</v>
      </c>
      <c r="F149" s="125" t="s">
        <v>349</v>
      </c>
      <c r="G149" s="125" t="s">
        <v>342</v>
      </c>
      <c r="H149" s="125" t="s">
        <v>208</v>
      </c>
      <c r="I149" s="126" t="s">
        <v>351</v>
      </c>
    </row>
    <row r="150" customFormat="false" ht="15" hidden="false" customHeight="true" outlineLevel="0" collapsed="false">
      <c r="A150" s="125" t="s">
        <v>6</v>
      </c>
      <c r="B150" s="126" t="s">
        <v>348</v>
      </c>
      <c r="C150" s="125" t="s">
        <v>303</v>
      </c>
      <c r="D150" s="125" t="s">
        <v>341</v>
      </c>
      <c r="E150" s="125" t="n">
        <v>5.093</v>
      </c>
      <c r="F150" s="125" t="s">
        <v>349</v>
      </c>
      <c r="G150" s="125" t="s">
        <v>342</v>
      </c>
      <c r="H150" s="125" t="s">
        <v>208</v>
      </c>
      <c r="I150" s="126" t="s">
        <v>352</v>
      </c>
    </row>
    <row r="151" customFormat="false" ht="15" hidden="false" customHeight="true" outlineLevel="0" collapsed="false">
      <c r="A151" s="125" t="s">
        <v>7</v>
      </c>
      <c r="B151" s="126" t="s">
        <v>348</v>
      </c>
      <c r="C151" s="125" t="s">
        <v>303</v>
      </c>
      <c r="D151" s="125" t="s">
        <v>341</v>
      </c>
      <c r="E151" s="125" t="n">
        <v>5.818</v>
      </c>
      <c r="F151" s="125" t="s">
        <v>349</v>
      </c>
      <c r="G151" s="125" t="s">
        <v>342</v>
      </c>
      <c r="H151" s="125" t="s">
        <v>208</v>
      </c>
      <c r="I151" s="126" t="s">
        <v>353</v>
      </c>
    </row>
    <row r="152" customFormat="false" ht="15" hidden="false" customHeight="true" outlineLevel="0" collapsed="false">
      <c r="A152" s="125" t="s">
        <v>100</v>
      </c>
      <c r="B152" s="126" t="s">
        <v>348</v>
      </c>
      <c r="C152" s="125" t="s">
        <v>303</v>
      </c>
      <c r="D152" s="125" t="s">
        <v>341</v>
      </c>
      <c r="E152" s="125" t="n">
        <v>6.13</v>
      </c>
      <c r="F152" s="125" t="s">
        <v>349</v>
      </c>
      <c r="G152" s="125" t="s">
        <v>342</v>
      </c>
      <c r="H152" s="125" t="s">
        <v>213</v>
      </c>
      <c r="I152" s="126" t="s">
        <v>354</v>
      </c>
    </row>
    <row r="153" customFormat="false" ht="15" hidden="false" customHeight="true" outlineLevel="0" collapsed="false">
      <c r="A153" s="125" t="s">
        <v>4</v>
      </c>
      <c r="B153" s="126" t="s">
        <v>355</v>
      </c>
      <c r="C153" s="125" t="s">
        <v>303</v>
      </c>
      <c r="D153" s="125" t="s">
        <v>341</v>
      </c>
      <c r="E153" s="125" t="n">
        <v>0.568</v>
      </c>
      <c r="F153" s="125" t="s">
        <v>349</v>
      </c>
      <c r="G153" s="125" t="s">
        <v>342</v>
      </c>
      <c r="H153" s="125" t="s">
        <v>208</v>
      </c>
      <c r="I153" s="126" t="s">
        <v>356</v>
      </c>
    </row>
    <row r="154" customFormat="false" ht="15" hidden="false" customHeight="true" outlineLevel="0" collapsed="false">
      <c r="A154" s="125" t="s">
        <v>5</v>
      </c>
      <c r="B154" s="126" t="s">
        <v>355</v>
      </c>
      <c r="C154" s="125" t="s">
        <v>303</v>
      </c>
      <c r="D154" s="125" t="s">
        <v>341</v>
      </c>
      <c r="E154" s="125" t="n">
        <v>0.536</v>
      </c>
      <c r="F154" s="125" t="s">
        <v>349</v>
      </c>
      <c r="G154" s="125" t="s">
        <v>342</v>
      </c>
      <c r="H154" s="125" t="s">
        <v>208</v>
      </c>
      <c r="I154" s="126" t="s">
        <v>357</v>
      </c>
    </row>
    <row r="155" customFormat="false" ht="15" hidden="false" customHeight="true" outlineLevel="0" collapsed="false">
      <c r="A155" s="125" t="s">
        <v>6</v>
      </c>
      <c r="B155" s="126" t="s">
        <v>355</v>
      </c>
      <c r="C155" s="125" t="s">
        <v>303</v>
      </c>
      <c r="D155" s="125" t="s">
        <v>341</v>
      </c>
      <c r="E155" s="125" t="n">
        <v>0.545</v>
      </c>
      <c r="F155" s="125" t="s">
        <v>349</v>
      </c>
      <c r="G155" s="125" t="s">
        <v>342</v>
      </c>
      <c r="H155" s="125" t="s">
        <v>208</v>
      </c>
      <c r="I155" s="126" t="s">
        <v>358</v>
      </c>
    </row>
    <row r="156" customFormat="false" ht="15" hidden="false" customHeight="true" outlineLevel="0" collapsed="false">
      <c r="A156" s="125" t="s">
        <v>7</v>
      </c>
      <c r="B156" s="126" t="s">
        <v>355</v>
      </c>
      <c r="C156" s="125" t="s">
        <v>303</v>
      </c>
      <c r="D156" s="125" t="s">
        <v>341</v>
      </c>
      <c r="E156" s="125" t="n">
        <v>0.569</v>
      </c>
      <c r="F156" s="125" t="s">
        <v>349</v>
      </c>
      <c r="G156" s="125" t="s">
        <v>342</v>
      </c>
      <c r="H156" s="125" t="s">
        <v>208</v>
      </c>
      <c r="I156" s="126" t="s">
        <v>356</v>
      </c>
    </row>
    <row r="157" customFormat="false" ht="15" hidden="false" customHeight="true" outlineLevel="0" collapsed="false">
      <c r="A157" s="125" t="s">
        <v>100</v>
      </c>
      <c r="B157" s="126" t="s">
        <v>355</v>
      </c>
      <c r="C157" s="125" t="s">
        <v>303</v>
      </c>
      <c r="D157" s="125" t="s">
        <v>341</v>
      </c>
      <c r="E157" s="125" t="n">
        <v>0.569</v>
      </c>
      <c r="F157" s="125" t="s">
        <v>349</v>
      </c>
      <c r="G157" s="125" t="s">
        <v>342</v>
      </c>
      <c r="H157" s="125" t="s">
        <v>213</v>
      </c>
      <c r="I157" s="126" t="s">
        <v>356</v>
      </c>
    </row>
    <row r="158" customFormat="false" ht="15" hidden="false" customHeight="true" outlineLevel="0" collapsed="false">
      <c r="A158" s="125" t="s">
        <v>4</v>
      </c>
      <c r="B158" s="126" t="s">
        <v>60</v>
      </c>
      <c r="C158" s="125" t="s">
        <v>359</v>
      </c>
      <c r="D158" s="125" t="s">
        <v>360</v>
      </c>
      <c r="E158" s="125" t="n">
        <v>3378</v>
      </c>
      <c r="F158" s="125" t="s">
        <v>11</v>
      </c>
      <c r="G158" s="125" t="s">
        <v>207</v>
      </c>
      <c r="H158" s="125" t="s">
        <v>208</v>
      </c>
      <c r="I158" s="126" t="s">
        <v>361</v>
      </c>
    </row>
    <row r="159" customFormat="false" ht="15" hidden="false" customHeight="true" outlineLevel="0" collapsed="false">
      <c r="A159" s="125" t="s">
        <v>5</v>
      </c>
      <c r="B159" s="126" t="s">
        <v>60</v>
      </c>
      <c r="C159" s="125" t="s">
        <v>359</v>
      </c>
      <c r="D159" s="125" t="s">
        <v>360</v>
      </c>
      <c r="E159" s="125" t="n">
        <v>4754</v>
      </c>
      <c r="F159" s="125" t="s">
        <v>11</v>
      </c>
      <c r="G159" s="125" t="s">
        <v>207</v>
      </c>
      <c r="H159" s="125" t="s">
        <v>208</v>
      </c>
      <c r="I159" s="126" t="s">
        <v>362</v>
      </c>
    </row>
    <row r="160" customFormat="false" ht="15" hidden="false" customHeight="true" outlineLevel="0" collapsed="false">
      <c r="A160" s="125" t="s">
        <v>6</v>
      </c>
      <c r="B160" s="126" t="s">
        <v>60</v>
      </c>
      <c r="C160" s="125" t="s">
        <v>359</v>
      </c>
      <c r="D160" s="125" t="s">
        <v>360</v>
      </c>
      <c r="E160" s="125" t="n">
        <v>4359</v>
      </c>
      <c r="F160" s="125" t="s">
        <v>11</v>
      </c>
      <c r="G160" s="125" t="s">
        <v>207</v>
      </c>
      <c r="H160" s="125" t="s">
        <v>208</v>
      </c>
      <c r="I160" s="126" t="s">
        <v>363</v>
      </c>
    </row>
    <row r="161" customFormat="false" ht="15" hidden="false" customHeight="true" outlineLevel="0" collapsed="false">
      <c r="A161" s="125" t="s">
        <v>7</v>
      </c>
      <c r="B161" s="126" t="s">
        <v>60</v>
      </c>
      <c r="C161" s="125" t="s">
        <v>359</v>
      </c>
      <c r="D161" s="125" t="s">
        <v>360</v>
      </c>
      <c r="E161" s="125" t="n">
        <v>4550</v>
      </c>
      <c r="F161" s="125" t="s">
        <v>11</v>
      </c>
      <c r="G161" s="125" t="s">
        <v>207</v>
      </c>
      <c r="H161" s="125" t="s">
        <v>208</v>
      </c>
      <c r="I161" s="126" t="s">
        <v>364</v>
      </c>
    </row>
    <row r="162" customFormat="false" ht="15" hidden="false" customHeight="true" outlineLevel="0" collapsed="false">
      <c r="A162" s="125" t="s">
        <v>100</v>
      </c>
      <c r="B162" s="126" t="s">
        <v>60</v>
      </c>
      <c r="C162" s="125" t="s">
        <v>359</v>
      </c>
      <c r="D162" s="125" t="s">
        <v>360</v>
      </c>
      <c r="E162" s="125" t="n">
        <v>4228.26</v>
      </c>
      <c r="F162" s="125" t="s">
        <v>11</v>
      </c>
      <c r="G162" s="125" t="s">
        <v>207</v>
      </c>
      <c r="H162" s="125" t="s">
        <v>213</v>
      </c>
      <c r="I162" s="126" t="s">
        <v>365</v>
      </c>
    </row>
    <row r="163" customFormat="false" ht="15" hidden="false" customHeight="true" outlineLevel="0" collapsed="false">
      <c r="A163" s="125" t="s">
        <v>4</v>
      </c>
      <c r="B163" s="126" t="s">
        <v>140</v>
      </c>
      <c r="C163" s="125" t="s">
        <v>359</v>
      </c>
      <c r="D163" s="125" t="s">
        <v>366</v>
      </c>
      <c r="E163" s="125" t="n">
        <v>-2457</v>
      </c>
      <c r="F163" s="125" t="s">
        <v>11</v>
      </c>
      <c r="G163" s="125" t="s">
        <v>207</v>
      </c>
      <c r="H163" s="125" t="s">
        <v>208</v>
      </c>
      <c r="I163" s="126" t="s">
        <v>367</v>
      </c>
    </row>
    <row r="164" customFormat="false" ht="15" hidden="false" customHeight="true" outlineLevel="0" collapsed="false">
      <c r="A164" s="125" t="s">
        <v>5</v>
      </c>
      <c r="B164" s="126" t="s">
        <v>140</v>
      </c>
      <c r="C164" s="125" t="s">
        <v>359</v>
      </c>
      <c r="D164" s="125" t="s">
        <v>366</v>
      </c>
      <c r="E164" s="125" t="n">
        <v>-1844</v>
      </c>
      <c r="F164" s="125" t="s">
        <v>11</v>
      </c>
      <c r="G164" s="125" t="s">
        <v>207</v>
      </c>
      <c r="H164" s="125" t="s">
        <v>208</v>
      </c>
      <c r="I164" s="126" t="s">
        <v>368</v>
      </c>
    </row>
    <row r="165" customFormat="false" ht="15" hidden="false" customHeight="true" outlineLevel="0" collapsed="false">
      <c r="A165" s="125" t="s">
        <v>6</v>
      </c>
      <c r="B165" s="126" t="s">
        <v>140</v>
      </c>
      <c r="C165" s="125" t="s">
        <v>359</v>
      </c>
      <c r="D165" s="125" t="s">
        <v>366</v>
      </c>
      <c r="E165" s="125" t="n">
        <v>-2277</v>
      </c>
      <c r="F165" s="125" t="s">
        <v>11</v>
      </c>
      <c r="G165" s="125" t="s">
        <v>207</v>
      </c>
      <c r="H165" s="125" t="s">
        <v>208</v>
      </c>
      <c r="I165" s="126" t="s">
        <v>369</v>
      </c>
    </row>
    <row r="166" customFormat="false" ht="15" hidden="false" customHeight="true" outlineLevel="0" collapsed="false">
      <c r="A166" s="125" t="s">
        <v>7</v>
      </c>
      <c r="B166" s="126" t="s">
        <v>140</v>
      </c>
      <c r="C166" s="125" t="s">
        <v>359</v>
      </c>
      <c r="D166" s="125" t="s">
        <v>366</v>
      </c>
      <c r="E166" s="125" t="n">
        <v>-1926</v>
      </c>
      <c r="F166" s="125" t="s">
        <v>11</v>
      </c>
      <c r="G166" s="125" t="s">
        <v>207</v>
      </c>
      <c r="H166" s="125" t="s">
        <v>208</v>
      </c>
      <c r="I166" s="126" t="s">
        <v>370</v>
      </c>
    </row>
    <row r="167" customFormat="false" ht="15" hidden="false" customHeight="true" outlineLevel="0" collapsed="false">
      <c r="A167" s="125" t="s">
        <v>100</v>
      </c>
      <c r="B167" s="126" t="s">
        <v>140</v>
      </c>
      <c r="C167" s="125" t="s">
        <v>359</v>
      </c>
      <c r="D167" s="125" t="s">
        <v>366</v>
      </c>
      <c r="E167" s="125" t="n">
        <v>-2100</v>
      </c>
      <c r="F167" s="125" t="s">
        <v>11</v>
      </c>
      <c r="G167" s="125" t="s">
        <v>207</v>
      </c>
      <c r="H167" s="125" t="s">
        <v>213</v>
      </c>
      <c r="I167" s="126" t="s">
        <v>371</v>
      </c>
    </row>
    <row r="168" customFormat="false" ht="15" hidden="false" customHeight="true" outlineLevel="0" collapsed="false">
      <c r="A168" s="125" t="s">
        <v>4</v>
      </c>
      <c r="B168" s="126" t="s">
        <v>61</v>
      </c>
      <c r="C168" s="125" t="s">
        <v>359</v>
      </c>
      <c r="D168" s="125" t="s">
        <v>366</v>
      </c>
      <c r="E168" s="125" t="n">
        <v>-2457</v>
      </c>
      <c r="F168" s="125" t="s">
        <v>11</v>
      </c>
      <c r="G168" s="125" t="s">
        <v>207</v>
      </c>
      <c r="H168" s="125" t="s">
        <v>208</v>
      </c>
      <c r="I168" s="126" t="s">
        <v>367</v>
      </c>
    </row>
    <row r="169" customFormat="false" ht="15" hidden="false" customHeight="true" outlineLevel="0" collapsed="false">
      <c r="A169" s="125" t="s">
        <v>5</v>
      </c>
      <c r="B169" s="126" t="s">
        <v>61</v>
      </c>
      <c r="C169" s="125" t="s">
        <v>359</v>
      </c>
      <c r="D169" s="125" t="s">
        <v>366</v>
      </c>
      <c r="E169" s="125" t="n">
        <v>-1844</v>
      </c>
      <c r="F169" s="125" t="s">
        <v>11</v>
      </c>
      <c r="G169" s="125" t="s">
        <v>207</v>
      </c>
      <c r="H169" s="125" t="s">
        <v>208</v>
      </c>
      <c r="I169" s="126" t="s">
        <v>368</v>
      </c>
    </row>
    <row r="170" customFormat="false" ht="15" hidden="false" customHeight="true" outlineLevel="0" collapsed="false">
      <c r="A170" s="125" t="s">
        <v>6</v>
      </c>
      <c r="B170" s="126" t="s">
        <v>61</v>
      </c>
      <c r="C170" s="125" t="s">
        <v>359</v>
      </c>
      <c r="D170" s="125" t="s">
        <v>366</v>
      </c>
      <c r="E170" s="125" t="n">
        <v>-2277</v>
      </c>
      <c r="F170" s="125" t="s">
        <v>11</v>
      </c>
      <c r="G170" s="125" t="s">
        <v>207</v>
      </c>
      <c r="H170" s="125" t="s">
        <v>208</v>
      </c>
      <c r="I170" s="126" t="s">
        <v>369</v>
      </c>
    </row>
    <row r="171" customFormat="false" ht="15" hidden="false" customHeight="true" outlineLevel="0" collapsed="false">
      <c r="A171" s="125" t="s">
        <v>7</v>
      </c>
      <c r="B171" s="126" t="s">
        <v>61</v>
      </c>
      <c r="C171" s="125" t="s">
        <v>359</v>
      </c>
      <c r="D171" s="125" t="s">
        <v>366</v>
      </c>
      <c r="E171" s="125" t="n">
        <v>-1926</v>
      </c>
      <c r="F171" s="125" t="s">
        <v>11</v>
      </c>
      <c r="G171" s="125" t="s">
        <v>207</v>
      </c>
      <c r="H171" s="125" t="s">
        <v>208</v>
      </c>
      <c r="I171" s="126" t="s">
        <v>370</v>
      </c>
    </row>
    <row r="172" customFormat="false" ht="15" hidden="false" customHeight="true" outlineLevel="0" collapsed="false">
      <c r="A172" s="125" t="s">
        <v>100</v>
      </c>
      <c r="B172" s="126" t="s">
        <v>61</v>
      </c>
      <c r="C172" s="125" t="s">
        <v>359</v>
      </c>
      <c r="D172" s="125" t="s">
        <v>366</v>
      </c>
      <c r="E172" s="125" t="n">
        <v>-2100</v>
      </c>
      <c r="F172" s="125" t="s">
        <v>11</v>
      </c>
      <c r="G172" s="125" t="s">
        <v>207</v>
      </c>
      <c r="H172" s="125" t="s">
        <v>213</v>
      </c>
      <c r="I172" s="126" t="s">
        <v>371</v>
      </c>
    </row>
    <row r="173" customFormat="false" ht="15" hidden="false" customHeight="true" outlineLevel="0" collapsed="false">
      <c r="A173" s="125" t="s">
        <v>4</v>
      </c>
      <c r="B173" s="126" t="s">
        <v>64</v>
      </c>
      <c r="C173" s="125" t="s">
        <v>359</v>
      </c>
      <c r="D173" s="125" t="s">
        <v>372</v>
      </c>
      <c r="E173" s="125" t="n">
        <v>921</v>
      </c>
      <c r="F173" s="125" t="s">
        <v>11</v>
      </c>
      <c r="G173" s="125" t="s">
        <v>207</v>
      </c>
      <c r="H173" s="125" t="s">
        <v>208</v>
      </c>
      <c r="I173" s="126" t="s">
        <v>373</v>
      </c>
    </row>
    <row r="174" customFormat="false" ht="15" hidden="false" customHeight="true" outlineLevel="0" collapsed="false">
      <c r="A174" s="125" t="s">
        <v>5</v>
      </c>
      <c r="B174" s="126" t="s">
        <v>64</v>
      </c>
      <c r="C174" s="125" t="s">
        <v>359</v>
      </c>
      <c r="D174" s="125" t="s">
        <v>372</v>
      </c>
      <c r="E174" s="125" t="n">
        <v>2910</v>
      </c>
      <c r="F174" s="125" t="s">
        <v>11</v>
      </c>
      <c r="G174" s="125" t="s">
        <v>207</v>
      </c>
      <c r="H174" s="125" t="s">
        <v>208</v>
      </c>
      <c r="I174" s="126" t="s">
        <v>374</v>
      </c>
    </row>
    <row r="175" customFormat="false" ht="15" hidden="false" customHeight="true" outlineLevel="0" collapsed="false">
      <c r="A175" s="125" t="s">
        <v>6</v>
      </c>
      <c r="B175" s="126" t="s">
        <v>64</v>
      </c>
      <c r="C175" s="125" t="s">
        <v>359</v>
      </c>
      <c r="D175" s="125" t="s">
        <v>372</v>
      </c>
      <c r="E175" s="125" t="n">
        <v>2082</v>
      </c>
      <c r="F175" s="125" t="s">
        <v>11</v>
      </c>
      <c r="G175" s="125" t="s">
        <v>207</v>
      </c>
      <c r="H175" s="125" t="s">
        <v>208</v>
      </c>
      <c r="I175" s="126" t="s">
        <v>375</v>
      </c>
    </row>
    <row r="176" customFormat="false" ht="15" hidden="false" customHeight="true" outlineLevel="0" collapsed="false">
      <c r="A176" s="125" t="s">
        <v>7</v>
      </c>
      <c r="B176" s="126" t="s">
        <v>64</v>
      </c>
      <c r="C176" s="125" t="s">
        <v>359</v>
      </c>
      <c r="D176" s="125" t="s">
        <v>372</v>
      </c>
      <c r="E176" s="125" t="n">
        <v>2624</v>
      </c>
      <c r="F176" s="125" t="s">
        <v>11</v>
      </c>
      <c r="G176" s="125" t="s">
        <v>207</v>
      </c>
      <c r="H176" s="125" t="s">
        <v>208</v>
      </c>
      <c r="I176" s="126" t="s">
        <v>376</v>
      </c>
    </row>
    <row r="177" customFormat="false" ht="15" hidden="false" customHeight="true" outlineLevel="0" collapsed="false">
      <c r="A177" s="125" t="s">
        <v>100</v>
      </c>
      <c r="B177" s="126" t="s">
        <v>64</v>
      </c>
      <c r="C177" s="125" t="s">
        <v>359</v>
      </c>
      <c r="D177" s="125" t="s">
        <v>372</v>
      </c>
      <c r="E177" s="125" t="n">
        <v>2128.26</v>
      </c>
      <c r="F177" s="125" t="s">
        <v>11</v>
      </c>
      <c r="G177" s="125" t="s">
        <v>207</v>
      </c>
      <c r="H177" s="125" t="s">
        <v>213</v>
      </c>
      <c r="I177" s="126" t="s">
        <v>377</v>
      </c>
    </row>
    <row r="178" customFormat="false" ht="15" hidden="false" customHeight="true" outlineLevel="0" collapsed="false">
      <c r="A178" s="125" t="s">
        <v>4</v>
      </c>
      <c r="B178" s="126" t="s">
        <v>62</v>
      </c>
      <c r="C178" s="125" t="s">
        <v>359</v>
      </c>
      <c r="D178" s="125" t="s">
        <v>378</v>
      </c>
      <c r="E178" s="125" t="n">
        <v>-1337</v>
      </c>
      <c r="F178" s="125" t="s">
        <v>11</v>
      </c>
      <c r="G178" s="125" t="s">
        <v>207</v>
      </c>
      <c r="H178" s="125" t="s">
        <v>208</v>
      </c>
      <c r="I178" s="126" t="s">
        <v>379</v>
      </c>
    </row>
    <row r="179" customFormat="false" ht="15" hidden="false" customHeight="true" outlineLevel="0" collapsed="false">
      <c r="A179" s="125" t="s">
        <v>5</v>
      </c>
      <c r="B179" s="126" t="s">
        <v>62</v>
      </c>
      <c r="C179" s="125" t="s">
        <v>359</v>
      </c>
      <c r="D179" s="125" t="s">
        <v>378</v>
      </c>
      <c r="E179" s="125" t="n">
        <v>-2809</v>
      </c>
      <c r="F179" s="125" t="s">
        <v>11</v>
      </c>
      <c r="G179" s="125" t="s">
        <v>207</v>
      </c>
      <c r="H179" s="125" t="s">
        <v>208</v>
      </c>
      <c r="I179" s="126" t="s">
        <v>380</v>
      </c>
    </row>
    <row r="180" customFormat="false" ht="15" hidden="false" customHeight="true" outlineLevel="0" collapsed="false">
      <c r="A180" s="125" t="s">
        <v>6</v>
      </c>
      <c r="B180" s="126" t="s">
        <v>62</v>
      </c>
      <c r="C180" s="125" t="s">
        <v>359</v>
      </c>
      <c r="D180" s="125" t="s">
        <v>378</v>
      </c>
      <c r="E180" s="125" t="n">
        <v>-1919</v>
      </c>
      <c r="F180" s="125" t="s">
        <v>11</v>
      </c>
      <c r="G180" s="125" t="s">
        <v>207</v>
      </c>
      <c r="H180" s="125" t="s">
        <v>208</v>
      </c>
      <c r="I180" s="126" t="s">
        <v>381</v>
      </c>
    </row>
    <row r="181" customFormat="false" ht="15" hidden="false" customHeight="true" outlineLevel="0" collapsed="false">
      <c r="A181" s="125" t="s">
        <v>7</v>
      </c>
      <c r="B181" s="126" t="s">
        <v>62</v>
      </c>
      <c r="C181" s="125" t="s">
        <v>359</v>
      </c>
      <c r="D181" s="125" t="s">
        <v>378</v>
      </c>
      <c r="E181" s="125" t="n">
        <v>-2649</v>
      </c>
      <c r="F181" s="125" t="s">
        <v>11</v>
      </c>
      <c r="G181" s="125" t="s">
        <v>207</v>
      </c>
      <c r="H181" s="125" t="s">
        <v>208</v>
      </c>
      <c r="I181" s="126" t="s">
        <v>382</v>
      </c>
    </row>
    <row r="182" customFormat="false" ht="15" hidden="false" customHeight="true" outlineLevel="0" collapsed="false">
      <c r="A182" s="125" t="s">
        <v>100</v>
      </c>
      <c r="B182" s="126" t="s">
        <v>62</v>
      </c>
      <c r="C182" s="125" t="s">
        <v>359</v>
      </c>
      <c r="D182" s="125" t="s">
        <v>378</v>
      </c>
      <c r="E182" s="125" t="n">
        <v>-2179</v>
      </c>
      <c r="F182" s="125" t="s">
        <v>11</v>
      </c>
      <c r="G182" s="125" t="s">
        <v>207</v>
      </c>
      <c r="H182" s="125" t="s">
        <v>213</v>
      </c>
      <c r="I182" s="126" t="s">
        <v>383</v>
      </c>
    </row>
    <row r="183" customFormat="false" ht="15" hidden="false" customHeight="true" outlineLevel="0" collapsed="false">
      <c r="A183" s="125" t="s">
        <v>4</v>
      </c>
      <c r="B183" s="126" t="s">
        <v>63</v>
      </c>
      <c r="C183" s="125" t="s">
        <v>359</v>
      </c>
      <c r="D183" s="125" t="s">
        <v>384</v>
      </c>
      <c r="E183" s="125" t="n">
        <v>-416</v>
      </c>
      <c r="F183" s="125" t="s">
        <v>11</v>
      </c>
      <c r="G183" s="125" t="s">
        <v>207</v>
      </c>
      <c r="H183" s="125" t="s">
        <v>208</v>
      </c>
      <c r="I183" s="126" t="s">
        <v>385</v>
      </c>
    </row>
    <row r="184" customFormat="false" ht="15" hidden="false" customHeight="true" outlineLevel="0" collapsed="false">
      <c r="A184" s="125" t="s">
        <v>5</v>
      </c>
      <c r="B184" s="126" t="s">
        <v>63</v>
      </c>
      <c r="C184" s="125" t="s">
        <v>359</v>
      </c>
      <c r="D184" s="125" t="s">
        <v>384</v>
      </c>
      <c r="E184" s="125" t="n">
        <v>101</v>
      </c>
      <c r="F184" s="125" t="s">
        <v>11</v>
      </c>
      <c r="G184" s="125" t="s">
        <v>207</v>
      </c>
      <c r="H184" s="125" t="s">
        <v>208</v>
      </c>
      <c r="I184" s="126" t="s">
        <v>386</v>
      </c>
    </row>
    <row r="185" customFormat="false" ht="15" hidden="false" customHeight="true" outlineLevel="0" collapsed="false">
      <c r="A185" s="125" t="s">
        <v>6</v>
      </c>
      <c r="B185" s="126" t="s">
        <v>63</v>
      </c>
      <c r="C185" s="125" t="s">
        <v>359</v>
      </c>
      <c r="D185" s="125" t="s">
        <v>384</v>
      </c>
      <c r="E185" s="125" t="n">
        <v>163</v>
      </c>
      <c r="F185" s="125" t="s">
        <v>11</v>
      </c>
      <c r="G185" s="125" t="s">
        <v>207</v>
      </c>
      <c r="H185" s="125" t="s">
        <v>208</v>
      </c>
      <c r="I185" s="126" t="s">
        <v>387</v>
      </c>
    </row>
    <row r="186" customFormat="false" ht="15" hidden="false" customHeight="true" outlineLevel="0" collapsed="false">
      <c r="A186" s="125" t="s">
        <v>7</v>
      </c>
      <c r="B186" s="126" t="s">
        <v>63</v>
      </c>
      <c r="C186" s="125" t="s">
        <v>359</v>
      </c>
      <c r="D186" s="125" t="s">
        <v>384</v>
      </c>
      <c r="E186" s="125" t="n">
        <v>-25</v>
      </c>
      <c r="F186" s="125" t="s">
        <v>11</v>
      </c>
      <c r="G186" s="125" t="s">
        <v>207</v>
      </c>
      <c r="H186" s="125" t="s">
        <v>208</v>
      </c>
      <c r="I186" s="126" t="s">
        <v>388</v>
      </c>
    </row>
    <row r="187" customFormat="false" ht="15" hidden="false" customHeight="true" outlineLevel="0" collapsed="false">
      <c r="A187" s="125" t="s">
        <v>100</v>
      </c>
      <c r="B187" s="126" t="s">
        <v>63</v>
      </c>
      <c r="C187" s="125" t="s">
        <v>359</v>
      </c>
      <c r="D187" s="125" t="s">
        <v>384</v>
      </c>
      <c r="E187" s="125" t="n">
        <v>-50.74</v>
      </c>
      <c r="F187" s="125" t="s">
        <v>11</v>
      </c>
      <c r="G187" s="125" t="s">
        <v>207</v>
      </c>
      <c r="H187" s="125" t="s">
        <v>213</v>
      </c>
      <c r="I187" s="126" t="s">
        <v>389</v>
      </c>
    </row>
    <row r="188" customFormat="false" ht="15" hidden="false" customHeight="true" outlineLevel="0" collapsed="false">
      <c r="A188" s="125" t="s">
        <v>5</v>
      </c>
      <c r="B188" s="126" t="s">
        <v>144</v>
      </c>
      <c r="C188" s="125" t="s">
        <v>359</v>
      </c>
      <c r="D188" s="125" t="s">
        <v>341</v>
      </c>
      <c r="E188" s="125" t="n">
        <v>40.73</v>
      </c>
      <c r="F188" s="125" t="s">
        <v>43</v>
      </c>
      <c r="G188" s="125" t="s">
        <v>267</v>
      </c>
      <c r="H188" s="125" t="s">
        <v>208</v>
      </c>
      <c r="I188" s="126" t="s">
        <v>390</v>
      </c>
    </row>
    <row r="189" customFormat="false" ht="15" hidden="false" customHeight="true" outlineLevel="0" collapsed="false">
      <c r="A189" s="125" t="s">
        <v>6</v>
      </c>
      <c r="B189" s="126" t="s">
        <v>144</v>
      </c>
      <c r="C189" s="125" t="s">
        <v>359</v>
      </c>
      <c r="D189" s="125" t="s">
        <v>341</v>
      </c>
      <c r="E189" s="125" t="n">
        <v>-8.31</v>
      </c>
      <c r="F189" s="125" t="s">
        <v>43</v>
      </c>
      <c r="G189" s="125" t="s">
        <v>267</v>
      </c>
      <c r="H189" s="125" t="s">
        <v>208</v>
      </c>
      <c r="I189" s="126" t="s">
        <v>391</v>
      </c>
    </row>
    <row r="190" customFormat="false" ht="15" hidden="false" customHeight="true" outlineLevel="0" collapsed="false">
      <c r="A190" s="125" t="s">
        <v>7</v>
      </c>
      <c r="B190" s="126" t="s">
        <v>144</v>
      </c>
      <c r="C190" s="125" t="s">
        <v>359</v>
      </c>
      <c r="D190" s="125" t="s">
        <v>341</v>
      </c>
      <c r="E190" s="125" t="n">
        <v>4.38</v>
      </c>
      <c r="F190" s="125" t="s">
        <v>43</v>
      </c>
      <c r="G190" s="125" t="s">
        <v>267</v>
      </c>
      <c r="H190" s="125" t="s">
        <v>208</v>
      </c>
      <c r="I190" s="126" t="s">
        <v>276</v>
      </c>
    </row>
    <row r="191" customFormat="false" ht="15" hidden="false" customHeight="true" outlineLevel="0" collapsed="false">
      <c r="A191" s="125" t="s">
        <v>100</v>
      </c>
      <c r="B191" s="126" t="s">
        <v>144</v>
      </c>
      <c r="C191" s="125" t="s">
        <v>359</v>
      </c>
      <c r="D191" s="125" t="s">
        <v>341</v>
      </c>
      <c r="E191" s="125" t="n">
        <v>-7.07</v>
      </c>
      <c r="F191" s="125" t="s">
        <v>43</v>
      </c>
      <c r="G191" s="125" t="s">
        <v>267</v>
      </c>
      <c r="H191" s="125" t="s">
        <v>213</v>
      </c>
      <c r="I191" s="126" t="s">
        <v>392</v>
      </c>
    </row>
    <row r="192" customFormat="false" ht="15" hidden="false" customHeight="true" outlineLevel="0" collapsed="false">
      <c r="A192" s="125" t="s">
        <v>5</v>
      </c>
      <c r="B192" s="126" t="s">
        <v>145</v>
      </c>
      <c r="C192" s="125" t="s">
        <v>359</v>
      </c>
      <c r="D192" s="125" t="s">
        <v>341</v>
      </c>
      <c r="E192" s="125" t="n">
        <v>215.96</v>
      </c>
      <c r="F192" s="125" t="s">
        <v>43</v>
      </c>
      <c r="G192" s="125" t="s">
        <v>267</v>
      </c>
      <c r="H192" s="125" t="s">
        <v>208</v>
      </c>
      <c r="I192" s="126" t="s">
        <v>301</v>
      </c>
    </row>
    <row r="193" customFormat="false" ht="15" hidden="false" customHeight="true" outlineLevel="0" collapsed="false">
      <c r="A193" s="125" t="s">
        <v>6</v>
      </c>
      <c r="B193" s="126" t="s">
        <v>145</v>
      </c>
      <c r="C193" s="125" t="s">
        <v>359</v>
      </c>
      <c r="D193" s="125" t="s">
        <v>341</v>
      </c>
      <c r="E193" s="125" t="n">
        <v>-28.45</v>
      </c>
      <c r="F193" s="125" t="s">
        <v>43</v>
      </c>
      <c r="G193" s="125" t="s">
        <v>267</v>
      </c>
      <c r="H193" s="125" t="s">
        <v>208</v>
      </c>
      <c r="I193" s="126" t="s">
        <v>393</v>
      </c>
    </row>
    <row r="194" customFormat="false" ht="15" hidden="false" customHeight="true" outlineLevel="0" collapsed="false">
      <c r="A194" s="125" t="s">
        <v>7</v>
      </c>
      <c r="B194" s="126" t="s">
        <v>145</v>
      </c>
      <c r="C194" s="125" t="s">
        <v>359</v>
      </c>
      <c r="D194" s="125" t="s">
        <v>341</v>
      </c>
      <c r="E194" s="125" t="n">
        <v>26.03</v>
      </c>
      <c r="F194" s="125" t="s">
        <v>43</v>
      </c>
      <c r="G194" s="125" t="s">
        <v>267</v>
      </c>
      <c r="H194" s="125" t="s">
        <v>208</v>
      </c>
      <c r="I194" s="126" t="s">
        <v>394</v>
      </c>
    </row>
    <row r="195" customFormat="false" ht="15" hidden="false" customHeight="true" outlineLevel="0" collapsed="false">
      <c r="A195" s="125" t="s">
        <v>100</v>
      </c>
      <c r="B195" s="126" t="s">
        <v>145</v>
      </c>
      <c r="C195" s="125" t="s">
        <v>359</v>
      </c>
      <c r="D195" s="125" t="s">
        <v>341</v>
      </c>
      <c r="E195" s="125" t="n">
        <v>-18.89</v>
      </c>
      <c r="F195" s="125" t="s">
        <v>43</v>
      </c>
      <c r="G195" s="125" t="s">
        <v>267</v>
      </c>
      <c r="H195" s="125" t="s">
        <v>213</v>
      </c>
      <c r="I195" s="126" t="s">
        <v>395</v>
      </c>
    </row>
    <row r="196" customFormat="false" ht="15" hidden="false" customHeight="true" outlineLevel="0" collapsed="false">
      <c r="A196" s="125" t="s">
        <v>4</v>
      </c>
      <c r="B196" s="126" t="s">
        <v>396</v>
      </c>
      <c r="C196" s="125" t="s">
        <v>359</v>
      </c>
      <c r="D196" s="125" t="s">
        <v>341</v>
      </c>
      <c r="E196" s="125" t="n">
        <v>27.26</v>
      </c>
      <c r="F196" s="125" t="s">
        <v>43</v>
      </c>
      <c r="G196" s="125" t="s">
        <v>267</v>
      </c>
      <c r="H196" s="125" t="s">
        <v>208</v>
      </c>
      <c r="I196" s="126" t="s">
        <v>270</v>
      </c>
    </row>
    <row r="197" customFormat="false" ht="15" hidden="false" customHeight="true" outlineLevel="0" collapsed="false">
      <c r="A197" s="125" t="s">
        <v>5</v>
      </c>
      <c r="B197" s="126" t="s">
        <v>396</v>
      </c>
      <c r="C197" s="125" t="s">
        <v>359</v>
      </c>
      <c r="D197" s="125" t="s">
        <v>341</v>
      </c>
      <c r="E197" s="125" t="n">
        <v>61.21</v>
      </c>
      <c r="F197" s="125" t="s">
        <v>43</v>
      </c>
      <c r="G197" s="125" t="s">
        <v>267</v>
      </c>
      <c r="H197" s="125" t="s">
        <v>208</v>
      </c>
      <c r="I197" s="126" t="s">
        <v>397</v>
      </c>
    </row>
    <row r="198" customFormat="false" ht="15" hidden="false" customHeight="true" outlineLevel="0" collapsed="false">
      <c r="A198" s="125" t="s">
        <v>6</v>
      </c>
      <c r="B198" s="126" t="s">
        <v>396</v>
      </c>
      <c r="C198" s="125" t="s">
        <v>359</v>
      </c>
      <c r="D198" s="125" t="s">
        <v>341</v>
      </c>
      <c r="E198" s="125" t="n">
        <v>47.76</v>
      </c>
      <c r="F198" s="125" t="s">
        <v>43</v>
      </c>
      <c r="G198" s="125" t="s">
        <v>267</v>
      </c>
      <c r="H198" s="125" t="s">
        <v>208</v>
      </c>
      <c r="I198" s="126" t="s">
        <v>398</v>
      </c>
    </row>
    <row r="199" customFormat="false" ht="15" hidden="false" customHeight="true" outlineLevel="0" collapsed="false">
      <c r="A199" s="125" t="s">
        <v>7</v>
      </c>
      <c r="B199" s="126" t="s">
        <v>396</v>
      </c>
      <c r="C199" s="125" t="s">
        <v>359</v>
      </c>
      <c r="D199" s="125" t="s">
        <v>341</v>
      </c>
      <c r="E199" s="125" t="n">
        <v>57.67</v>
      </c>
      <c r="F199" s="125" t="s">
        <v>43</v>
      </c>
      <c r="G199" s="125" t="s">
        <v>267</v>
      </c>
      <c r="H199" s="125" t="s">
        <v>208</v>
      </c>
      <c r="I199" s="126" t="s">
        <v>399</v>
      </c>
    </row>
    <row r="200" customFormat="false" ht="15" hidden="false" customHeight="true" outlineLevel="0" collapsed="false">
      <c r="A200" s="125" t="s">
        <v>100</v>
      </c>
      <c r="B200" s="126" t="s">
        <v>396</v>
      </c>
      <c r="C200" s="125" t="s">
        <v>359</v>
      </c>
      <c r="D200" s="125" t="s">
        <v>341</v>
      </c>
      <c r="E200" s="125" t="n">
        <v>50.33</v>
      </c>
      <c r="F200" s="125" t="s">
        <v>43</v>
      </c>
      <c r="G200" s="125" t="s">
        <v>267</v>
      </c>
      <c r="H200" s="125" t="s">
        <v>213</v>
      </c>
      <c r="I200" s="126" t="s">
        <v>400</v>
      </c>
    </row>
    <row r="201" customFormat="false" ht="15" hidden="false" customHeight="true" outlineLevel="0" collapsed="false">
      <c r="A201" s="125" t="s">
        <v>6</v>
      </c>
      <c r="B201" s="126" t="s">
        <v>10</v>
      </c>
      <c r="C201" s="125" t="s">
        <v>401</v>
      </c>
      <c r="D201" s="125" t="s">
        <v>205</v>
      </c>
      <c r="E201" s="125" t="n">
        <v>67922</v>
      </c>
      <c r="F201" s="125" t="s">
        <v>11</v>
      </c>
      <c r="G201" s="125" t="s">
        <v>207</v>
      </c>
      <c r="H201" s="125" t="s">
        <v>208</v>
      </c>
      <c r="I201" s="126" t="s">
        <v>211</v>
      </c>
    </row>
    <row r="202" customFormat="false" ht="15" hidden="false" customHeight="true" outlineLevel="0" collapsed="false">
      <c r="A202" s="125" t="s">
        <v>7</v>
      </c>
      <c r="B202" s="126" t="s">
        <v>10</v>
      </c>
      <c r="C202" s="125" t="s">
        <v>401</v>
      </c>
      <c r="D202" s="125" t="s">
        <v>205</v>
      </c>
      <c r="E202" s="125" t="n">
        <v>69077</v>
      </c>
      <c r="F202" s="125" t="s">
        <v>11</v>
      </c>
      <c r="G202" s="125" t="s">
        <v>207</v>
      </c>
      <c r="H202" s="125" t="s">
        <v>208</v>
      </c>
      <c r="I202" s="126" t="s">
        <v>212</v>
      </c>
    </row>
    <row r="203" customFormat="false" ht="15" hidden="false" customHeight="true" outlineLevel="0" collapsed="false">
      <c r="A203" s="125" t="s">
        <v>402</v>
      </c>
      <c r="B203" s="126" t="s">
        <v>10</v>
      </c>
      <c r="C203" s="125" t="s">
        <v>401</v>
      </c>
      <c r="D203" s="125" t="s">
        <v>205</v>
      </c>
      <c r="E203" s="125" t="n">
        <v>1155</v>
      </c>
      <c r="F203" s="125" t="s">
        <v>11</v>
      </c>
      <c r="G203" s="125" t="s">
        <v>403</v>
      </c>
      <c r="H203" s="125" t="s">
        <v>208</v>
      </c>
      <c r="I203" s="126"/>
    </row>
    <row r="204" customFormat="false" ht="15" hidden="false" customHeight="true" outlineLevel="0" collapsed="false">
      <c r="A204" s="125" t="s">
        <v>404</v>
      </c>
      <c r="B204" s="126" t="s">
        <v>10</v>
      </c>
      <c r="C204" s="125" t="s">
        <v>401</v>
      </c>
      <c r="D204" s="125" t="s">
        <v>205</v>
      </c>
      <c r="E204" s="125" t="n">
        <v>1.7005</v>
      </c>
      <c r="F204" s="125" t="s">
        <v>43</v>
      </c>
      <c r="G204" s="125" t="s">
        <v>405</v>
      </c>
      <c r="H204" s="125" t="s">
        <v>208</v>
      </c>
      <c r="I204" s="126" t="s">
        <v>291</v>
      </c>
    </row>
    <row r="205" customFormat="false" ht="15" hidden="false" customHeight="true" outlineLevel="0" collapsed="false">
      <c r="A205" s="125" t="s">
        <v>6</v>
      </c>
      <c r="B205" s="126" t="s">
        <v>13</v>
      </c>
      <c r="C205" s="125" t="s">
        <v>401</v>
      </c>
      <c r="D205" s="125" t="s">
        <v>205</v>
      </c>
      <c r="E205" s="125" t="n">
        <v>49370</v>
      </c>
      <c r="F205" s="125" t="s">
        <v>11</v>
      </c>
      <c r="G205" s="125" t="s">
        <v>207</v>
      </c>
      <c r="H205" s="125" t="s">
        <v>208</v>
      </c>
      <c r="I205" s="126" t="s">
        <v>217</v>
      </c>
    </row>
    <row r="206" customFormat="false" ht="15" hidden="false" customHeight="true" outlineLevel="0" collapsed="false">
      <c r="A206" s="125" t="s">
        <v>7</v>
      </c>
      <c r="B206" s="126" t="s">
        <v>13</v>
      </c>
      <c r="C206" s="125" t="s">
        <v>401</v>
      </c>
      <c r="D206" s="125" t="s">
        <v>205</v>
      </c>
      <c r="E206" s="125" t="n">
        <v>50262</v>
      </c>
      <c r="F206" s="125" t="s">
        <v>11</v>
      </c>
      <c r="G206" s="125" t="s">
        <v>207</v>
      </c>
      <c r="H206" s="125" t="s">
        <v>208</v>
      </c>
      <c r="I206" s="126" t="s">
        <v>218</v>
      </c>
    </row>
    <row r="207" customFormat="false" ht="15" hidden="false" customHeight="true" outlineLevel="0" collapsed="false">
      <c r="A207" s="125" t="s">
        <v>402</v>
      </c>
      <c r="B207" s="126" t="s">
        <v>13</v>
      </c>
      <c r="C207" s="125" t="s">
        <v>401</v>
      </c>
      <c r="D207" s="125" t="s">
        <v>205</v>
      </c>
      <c r="E207" s="125" t="n">
        <v>892</v>
      </c>
      <c r="F207" s="125" t="s">
        <v>11</v>
      </c>
      <c r="G207" s="125" t="s">
        <v>403</v>
      </c>
      <c r="H207" s="125" t="s">
        <v>208</v>
      </c>
      <c r="I207" s="126"/>
    </row>
    <row r="208" customFormat="false" ht="15" hidden="false" customHeight="true" outlineLevel="0" collapsed="false">
      <c r="A208" s="125" t="s">
        <v>404</v>
      </c>
      <c r="B208" s="126" t="s">
        <v>13</v>
      </c>
      <c r="C208" s="125" t="s">
        <v>401</v>
      </c>
      <c r="D208" s="125" t="s">
        <v>205</v>
      </c>
      <c r="E208" s="125" t="n">
        <v>1.8068</v>
      </c>
      <c r="F208" s="125" t="s">
        <v>43</v>
      </c>
      <c r="G208" s="125" t="s">
        <v>405</v>
      </c>
      <c r="H208" s="125" t="s">
        <v>208</v>
      </c>
      <c r="I208" s="126" t="s">
        <v>406</v>
      </c>
    </row>
    <row r="209" customFormat="false" ht="15" hidden="false" customHeight="true" outlineLevel="0" collapsed="false">
      <c r="A209" s="125" t="s">
        <v>6</v>
      </c>
      <c r="B209" s="126" t="s">
        <v>15</v>
      </c>
      <c r="C209" s="125" t="s">
        <v>401</v>
      </c>
      <c r="D209" s="125" t="s">
        <v>205</v>
      </c>
      <c r="E209" s="125" t="n">
        <v>18552</v>
      </c>
      <c r="F209" s="125" t="s">
        <v>11</v>
      </c>
      <c r="G209" s="125" t="s">
        <v>207</v>
      </c>
      <c r="H209" s="125" t="s">
        <v>208</v>
      </c>
      <c r="I209" s="126" t="s">
        <v>222</v>
      </c>
    </row>
    <row r="210" customFormat="false" ht="15" hidden="false" customHeight="true" outlineLevel="0" collapsed="false">
      <c r="A210" s="125" t="s">
        <v>7</v>
      </c>
      <c r="B210" s="126" t="s">
        <v>15</v>
      </c>
      <c r="C210" s="125" t="s">
        <v>401</v>
      </c>
      <c r="D210" s="125" t="s">
        <v>205</v>
      </c>
      <c r="E210" s="125" t="n">
        <v>18815</v>
      </c>
      <c r="F210" s="125" t="s">
        <v>11</v>
      </c>
      <c r="G210" s="125" t="s">
        <v>207</v>
      </c>
      <c r="H210" s="125" t="s">
        <v>208</v>
      </c>
      <c r="I210" s="126" t="s">
        <v>223</v>
      </c>
    </row>
    <row r="211" customFormat="false" ht="15" hidden="false" customHeight="true" outlineLevel="0" collapsed="false">
      <c r="A211" s="125" t="s">
        <v>402</v>
      </c>
      <c r="B211" s="126" t="s">
        <v>15</v>
      </c>
      <c r="C211" s="125" t="s">
        <v>401</v>
      </c>
      <c r="D211" s="125" t="s">
        <v>205</v>
      </c>
      <c r="E211" s="125" t="n">
        <v>263</v>
      </c>
      <c r="F211" s="125" t="s">
        <v>11</v>
      </c>
      <c r="G211" s="125" t="s">
        <v>403</v>
      </c>
      <c r="H211" s="125" t="s">
        <v>208</v>
      </c>
      <c r="I211" s="126"/>
    </row>
    <row r="212" customFormat="false" ht="15" hidden="false" customHeight="true" outlineLevel="0" collapsed="false">
      <c r="A212" s="125" t="s">
        <v>404</v>
      </c>
      <c r="B212" s="126" t="s">
        <v>15</v>
      </c>
      <c r="C212" s="125" t="s">
        <v>401</v>
      </c>
      <c r="D212" s="125" t="s">
        <v>205</v>
      </c>
      <c r="E212" s="125" t="n">
        <v>1.4176</v>
      </c>
      <c r="F212" s="125" t="s">
        <v>43</v>
      </c>
      <c r="G212" s="125" t="s">
        <v>405</v>
      </c>
      <c r="H212" s="125" t="s">
        <v>208</v>
      </c>
      <c r="I212" s="126" t="s">
        <v>285</v>
      </c>
    </row>
    <row r="213" customFormat="false" ht="15" hidden="false" customHeight="true" outlineLevel="0" collapsed="false">
      <c r="A213" s="125" t="s">
        <v>6</v>
      </c>
      <c r="B213" s="126" t="s">
        <v>17</v>
      </c>
      <c r="C213" s="125" t="s">
        <v>401</v>
      </c>
      <c r="D213" s="125" t="s">
        <v>205</v>
      </c>
      <c r="E213" s="125" t="n">
        <v>11707</v>
      </c>
      <c r="F213" s="125" t="s">
        <v>11</v>
      </c>
      <c r="G213" s="125" t="s">
        <v>207</v>
      </c>
      <c r="H213" s="125" t="s">
        <v>208</v>
      </c>
      <c r="I213" s="126" t="s">
        <v>407</v>
      </c>
    </row>
    <row r="214" customFormat="false" ht="15" hidden="false" customHeight="true" outlineLevel="0" collapsed="false">
      <c r="A214" s="125" t="s">
        <v>7</v>
      </c>
      <c r="B214" s="126" t="s">
        <v>17</v>
      </c>
      <c r="C214" s="125" t="s">
        <v>401</v>
      </c>
      <c r="D214" s="125" t="s">
        <v>205</v>
      </c>
      <c r="E214" s="125" t="n">
        <v>12768</v>
      </c>
      <c r="F214" s="125" t="s">
        <v>11</v>
      </c>
      <c r="G214" s="125" t="s">
        <v>207</v>
      </c>
      <c r="H214" s="125" t="s">
        <v>208</v>
      </c>
      <c r="I214" s="126" t="s">
        <v>408</v>
      </c>
    </row>
    <row r="215" customFormat="false" ht="15" hidden="false" customHeight="true" outlineLevel="0" collapsed="false">
      <c r="A215" s="125" t="s">
        <v>402</v>
      </c>
      <c r="B215" s="126" t="s">
        <v>17</v>
      </c>
      <c r="C215" s="125" t="s">
        <v>401</v>
      </c>
      <c r="D215" s="125" t="s">
        <v>205</v>
      </c>
      <c r="E215" s="125" t="n">
        <v>1061</v>
      </c>
      <c r="F215" s="125" t="s">
        <v>11</v>
      </c>
      <c r="G215" s="125" t="s">
        <v>403</v>
      </c>
      <c r="H215" s="125" t="s">
        <v>208</v>
      </c>
      <c r="I215" s="126"/>
    </row>
    <row r="216" customFormat="false" ht="15" hidden="false" customHeight="true" outlineLevel="0" collapsed="false">
      <c r="A216" s="125" t="s">
        <v>404</v>
      </c>
      <c r="B216" s="126" t="s">
        <v>17</v>
      </c>
      <c r="C216" s="125" t="s">
        <v>401</v>
      </c>
      <c r="D216" s="125" t="s">
        <v>205</v>
      </c>
      <c r="E216" s="125" t="n">
        <v>9.063</v>
      </c>
      <c r="F216" s="125" t="s">
        <v>43</v>
      </c>
      <c r="G216" s="125" t="s">
        <v>405</v>
      </c>
      <c r="H216" s="125" t="s">
        <v>208</v>
      </c>
      <c r="I216" s="126" t="s">
        <v>409</v>
      </c>
    </row>
    <row r="217" customFormat="false" ht="15" hidden="false" customHeight="true" outlineLevel="0" collapsed="false">
      <c r="A217" s="125" t="s">
        <v>6</v>
      </c>
      <c r="B217" s="126" t="s">
        <v>410</v>
      </c>
      <c r="C217" s="125" t="s">
        <v>401</v>
      </c>
      <c r="D217" s="125" t="s">
        <v>205</v>
      </c>
      <c r="E217" s="125" t="n">
        <v>5539</v>
      </c>
      <c r="F217" s="125" t="s">
        <v>11</v>
      </c>
      <c r="G217" s="125" t="s">
        <v>207</v>
      </c>
      <c r="H217" s="125" t="s">
        <v>208</v>
      </c>
      <c r="I217" s="126" t="s">
        <v>411</v>
      </c>
    </row>
    <row r="218" customFormat="false" ht="15" hidden="false" customHeight="true" outlineLevel="0" collapsed="false">
      <c r="A218" s="125" t="s">
        <v>7</v>
      </c>
      <c r="B218" s="126" t="s">
        <v>410</v>
      </c>
      <c r="C218" s="125" t="s">
        <v>401</v>
      </c>
      <c r="D218" s="125" t="s">
        <v>205</v>
      </c>
      <c r="E218" s="125" t="n">
        <v>4135</v>
      </c>
      <c r="F218" s="125" t="s">
        <v>11</v>
      </c>
      <c r="G218" s="125" t="s">
        <v>207</v>
      </c>
      <c r="H218" s="125" t="s">
        <v>208</v>
      </c>
      <c r="I218" s="126" t="s">
        <v>412</v>
      </c>
    </row>
    <row r="219" customFormat="false" ht="15" hidden="false" customHeight="true" outlineLevel="0" collapsed="false">
      <c r="A219" s="125" t="s">
        <v>402</v>
      </c>
      <c r="B219" s="126" t="s">
        <v>410</v>
      </c>
      <c r="C219" s="125" t="s">
        <v>401</v>
      </c>
      <c r="D219" s="125" t="s">
        <v>205</v>
      </c>
      <c r="E219" s="125" t="n">
        <v>-1404</v>
      </c>
      <c r="F219" s="125" t="s">
        <v>11</v>
      </c>
      <c r="G219" s="125" t="s">
        <v>403</v>
      </c>
      <c r="H219" s="125" t="s">
        <v>208</v>
      </c>
      <c r="I219" s="126"/>
    </row>
    <row r="220" customFormat="false" ht="15" hidden="false" customHeight="true" outlineLevel="0" collapsed="false">
      <c r="A220" s="125" t="s">
        <v>404</v>
      </c>
      <c r="B220" s="126" t="s">
        <v>410</v>
      </c>
      <c r="C220" s="125" t="s">
        <v>401</v>
      </c>
      <c r="D220" s="125" t="s">
        <v>205</v>
      </c>
      <c r="E220" s="125" t="n">
        <v>-25.3475</v>
      </c>
      <c r="F220" s="125" t="s">
        <v>43</v>
      </c>
      <c r="G220" s="125" t="s">
        <v>405</v>
      </c>
      <c r="H220" s="125" t="s">
        <v>208</v>
      </c>
      <c r="I220" s="126" t="s">
        <v>413</v>
      </c>
    </row>
    <row r="221" customFormat="false" ht="15" hidden="false" customHeight="true" outlineLevel="0" collapsed="false">
      <c r="A221" s="125" t="s">
        <v>6</v>
      </c>
      <c r="B221" s="126" t="s">
        <v>225</v>
      </c>
      <c r="C221" s="125" t="s">
        <v>401</v>
      </c>
      <c r="D221" s="125" t="s">
        <v>205</v>
      </c>
      <c r="E221" s="125" t="n">
        <v>17246</v>
      </c>
      <c r="F221" s="125" t="s">
        <v>11</v>
      </c>
      <c r="G221" s="125" t="s">
        <v>207</v>
      </c>
      <c r="H221" s="125" t="s">
        <v>208</v>
      </c>
      <c r="I221" s="126" t="s">
        <v>228</v>
      </c>
    </row>
    <row r="222" customFormat="false" ht="15" hidden="false" customHeight="true" outlineLevel="0" collapsed="false">
      <c r="A222" s="125" t="s">
        <v>7</v>
      </c>
      <c r="B222" s="126" t="s">
        <v>225</v>
      </c>
      <c r="C222" s="125" t="s">
        <v>401</v>
      </c>
      <c r="D222" s="125" t="s">
        <v>205</v>
      </c>
      <c r="E222" s="125" t="n">
        <v>16903</v>
      </c>
      <c r="F222" s="125" t="s">
        <v>11</v>
      </c>
      <c r="G222" s="125" t="s">
        <v>207</v>
      </c>
      <c r="H222" s="125" t="s">
        <v>208</v>
      </c>
      <c r="I222" s="126" t="s">
        <v>229</v>
      </c>
    </row>
    <row r="223" customFormat="false" ht="15" hidden="false" customHeight="true" outlineLevel="0" collapsed="false">
      <c r="A223" s="125" t="s">
        <v>402</v>
      </c>
      <c r="B223" s="126" t="s">
        <v>225</v>
      </c>
      <c r="C223" s="125" t="s">
        <v>401</v>
      </c>
      <c r="D223" s="125" t="s">
        <v>205</v>
      </c>
      <c r="E223" s="125" t="n">
        <v>-343</v>
      </c>
      <c r="F223" s="125" t="s">
        <v>11</v>
      </c>
      <c r="G223" s="125" t="s">
        <v>403</v>
      </c>
      <c r="H223" s="125" t="s">
        <v>208</v>
      </c>
      <c r="I223" s="126"/>
    </row>
    <row r="224" customFormat="false" ht="15" hidden="false" customHeight="true" outlineLevel="0" collapsed="false">
      <c r="A224" s="125" t="s">
        <v>404</v>
      </c>
      <c r="B224" s="126" t="s">
        <v>225</v>
      </c>
      <c r="C224" s="125" t="s">
        <v>401</v>
      </c>
      <c r="D224" s="125" t="s">
        <v>205</v>
      </c>
      <c r="E224" s="125" t="n">
        <v>-1.9889</v>
      </c>
      <c r="F224" s="125" t="s">
        <v>43</v>
      </c>
      <c r="G224" s="125" t="s">
        <v>405</v>
      </c>
      <c r="H224" s="125" t="s">
        <v>208</v>
      </c>
      <c r="I224" s="126" t="s">
        <v>414</v>
      </c>
    </row>
    <row r="225" customFormat="false" ht="15" hidden="false" customHeight="true" outlineLevel="0" collapsed="false">
      <c r="A225" s="125" t="s">
        <v>6</v>
      </c>
      <c r="B225" s="126" t="s">
        <v>155</v>
      </c>
      <c r="C225" s="125" t="s">
        <v>401</v>
      </c>
      <c r="D225" s="125" t="s">
        <v>205</v>
      </c>
      <c r="E225" s="125" t="n">
        <v>15545</v>
      </c>
      <c r="F225" s="125" t="s">
        <v>11</v>
      </c>
      <c r="G225" s="125" t="s">
        <v>207</v>
      </c>
      <c r="H225" s="125" t="s">
        <v>208</v>
      </c>
      <c r="I225" s="126" t="s">
        <v>235</v>
      </c>
    </row>
    <row r="226" customFormat="false" ht="15" hidden="false" customHeight="true" outlineLevel="0" collapsed="false">
      <c r="A226" s="125" t="s">
        <v>7</v>
      </c>
      <c r="B226" s="126" t="s">
        <v>155</v>
      </c>
      <c r="C226" s="125" t="s">
        <v>401</v>
      </c>
      <c r="D226" s="125" t="s">
        <v>205</v>
      </c>
      <c r="E226" s="125" t="n">
        <v>16334</v>
      </c>
      <c r="F226" s="125" t="s">
        <v>11</v>
      </c>
      <c r="G226" s="125" t="s">
        <v>207</v>
      </c>
      <c r="H226" s="125" t="s">
        <v>208</v>
      </c>
      <c r="I226" s="126" t="s">
        <v>236</v>
      </c>
    </row>
    <row r="227" customFormat="false" ht="15" hidden="false" customHeight="true" outlineLevel="0" collapsed="false">
      <c r="A227" s="125" t="s">
        <v>402</v>
      </c>
      <c r="B227" s="126" t="s">
        <v>155</v>
      </c>
      <c r="C227" s="125" t="s">
        <v>401</v>
      </c>
      <c r="D227" s="125" t="s">
        <v>205</v>
      </c>
      <c r="E227" s="125" t="n">
        <v>789</v>
      </c>
      <c r="F227" s="125" t="s">
        <v>11</v>
      </c>
      <c r="G227" s="125" t="s">
        <v>403</v>
      </c>
      <c r="H227" s="125" t="s">
        <v>208</v>
      </c>
      <c r="I227" s="126"/>
    </row>
    <row r="228" customFormat="false" ht="15" hidden="false" customHeight="true" outlineLevel="0" collapsed="false">
      <c r="A228" s="125" t="s">
        <v>404</v>
      </c>
      <c r="B228" s="126" t="s">
        <v>155</v>
      </c>
      <c r="C228" s="125" t="s">
        <v>401</v>
      </c>
      <c r="D228" s="125" t="s">
        <v>205</v>
      </c>
      <c r="E228" s="125" t="n">
        <v>5.0756</v>
      </c>
      <c r="F228" s="125" t="s">
        <v>43</v>
      </c>
      <c r="G228" s="125" t="s">
        <v>405</v>
      </c>
      <c r="H228" s="125" t="s">
        <v>208</v>
      </c>
      <c r="I228" s="126" t="s">
        <v>415</v>
      </c>
    </row>
    <row r="229" customFormat="false" ht="15" hidden="false" customHeight="true" outlineLevel="0" collapsed="false">
      <c r="A229" s="125" t="s">
        <v>6</v>
      </c>
      <c r="B229" s="126" t="s">
        <v>237</v>
      </c>
      <c r="C229" s="125" t="s">
        <v>401</v>
      </c>
      <c r="D229" s="125" t="s">
        <v>205</v>
      </c>
      <c r="E229" s="125" t="n">
        <v>1616</v>
      </c>
      <c r="F229" s="125" t="s">
        <v>11</v>
      </c>
      <c r="G229" s="125" t="s">
        <v>207</v>
      </c>
      <c r="H229" s="125" t="s">
        <v>208</v>
      </c>
      <c r="I229" s="126" t="s">
        <v>240</v>
      </c>
    </row>
    <row r="230" customFormat="false" ht="15" hidden="false" customHeight="true" outlineLevel="0" collapsed="false">
      <c r="A230" s="125" t="s">
        <v>7</v>
      </c>
      <c r="B230" s="126" t="s">
        <v>237</v>
      </c>
      <c r="C230" s="125" t="s">
        <v>401</v>
      </c>
      <c r="D230" s="125" t="s">
        <v>205</v>
      </c>
      <c r="E230" s="125" t="n">
        <v>2185</v>
      </c>
      <c r="F230" s="125" t="s">
        <v>11</v>
      </c>
      <c r="G230" s="125" t="s">
        <v>207</v>
      </c>
      <c r="H230" s="125" t="s">
        <v>208</v>
      </c>
      <c r="I230" s="126" t="s">
        <v>241</v>
      </c>
    </row>
    <row r="231" customFormat="false" ht="15" hidden="false" customHeight="true" outlineLevel="0" collapsed="false">
      <c r="A231" s="125" t="s">
        <v>402</v>
      </c>
      <c r="B231" s="126" t="s">
        <v>237</v>
      </c>
      <c r="C231" s="125" t="s">
        <v>401</v>
      </c>
      <c r="D231" s="125" t="s">
        <v>205</v>
      </c>
      <c r="E231" s="125" t="n">
        <v>569</v>
      </c>
      <c r="F231" s="125" t="s">
        <v>11</v>
      </c>
      <c r="G231" s="125" t="s">
        <v>403</v>
      </c>
      <c r="H231" s="125" t="s">
        <v>208</v>
      </c>
      <c r="I231" s="126"/>
    </row>
    <row r="232" customFormat="false" ht="15" hidden="false" customHeight="true" outlineLevel="0" collapsed="false">
      <c r="A232" s="125" t="s">
        <v>404</v>
      </c>
      <c r="B232" s="126" t="s">
        <v>237</v>
      </c>
      <c r="C232" s="125" t="s">
        <v>401</v>
      </c>
      <c r="D232" s="125" t="s">
        <v>205</v>
      </c>
      <c r="E232" s="125" t="n">
        <v>35.2104</v>
      </c>
      <c r="F232" s="125" t="s">
        <v>43</v>
      </c>
      <c r="G232" s="125" t="s">
        <v>405</v>
      </c>
      <c r="H232" s="125" t="s">
        <v>208</v>
      </c>
      <c r="I232" s="126" t="s">
        <v>416</v>
      </c>
    </row>
    <row r="233" customFormat="false" ht="15" hidden="false" customHeight="true" outlineLevel="0" collapsed="false">
      <c r="A233" s="125" t="s">
        <v>6</v>
      </c>
      <c r="B233" s="126" t="s">
        <v>157</v>
      </c>
      <c r="C233" s="125" t="s">
        <v>401</v>
      </c>
      <c r="D233" s="125" t="s">
        <v>205</v>
      </c>
      <c r="E233" s="125" t="n">
        <v>3317</v>
      </c>
      <c r="F233" s="125" t="s">
        <v>11</v>
      </c>
      <c r="G233" s="125" t="s">
        <v>207</v>
      </c>
      <c r="H233" s="125" t="s">
        <v>208</v>
      </c>
      <c r="I233" s="126" t="s">
        <v>243</v>
      </c>
    </row>
    <row r="234" customFormat="false" ht="15" hidden="false" customHeight="true" outlineLevel="0" collapsed="false">
      <c r="A234" s="125" t="s">
        <v>7</v>
      </c>
      <c r="B234" s="126" t="s">
        <v>157</v>
      </c>
      <c r="C234" s="125" t="s">
        <v>401</v>
      </c>
      <c r="D234" s="125" t="s">
        <v>205</v>
      </c>
      <c r="E234" s="125" t="n">
        <v>2754</v>
      </c>
      <c r="F234" s="125" t="s">
        <v>11</v>
      </c>
      <c r="G234" s="125" t="s">
        <v>207</v>
      </c>
      <c r="H234" s="125" t="s">
        <v>208</v>
      </c>
      <c r="I234" s="126" t="s">
        <v>244</v>
      </c>
    </row>
    <row r="235" customFormat="false" ht="15" hidden="false" customHeight="true" outlineLevel="0" collapsed="false">
      <c r="A235" s="125" t="s">
        <v>402</v>
      </c>
      <c r="B235" s="126" t="s">
        <v>157</v>
      </c>
      <c r="C235" s="125" t="s">
        <v>401</v>
      </c>
      <c r="D235" s="125" t="s">
        <v>205</v>
      </c>
      <c r="E235" s="125" t="n">
        <v>-563</v>
      </c>
      <c r="F235" s="125" t="s">
        <v>11</v>
      </c>
      <c r="G235" s="125" t="s">
        <v>403</v>
      </c>
      <c r="H235" s="125" t="s">
        <v>208</v>
      </c>
      <c r="I235" s="126"/>
    </row>
    <row r="236" customFormat="false" ht="15" hidden="false" customHeight="true" outlineLevel="0" collapsed="false">
      <c r="A236" s="125" t="s">
        <v>404</v>
      </c>
      <c r="B236" s="126" t="s">
        <v>157</v>
      </c>
      <c r="C236" s="125" t="s">
        <v>401</v>
      </c>
      <c r="D236" s="125" t="s">
        <v>205</v>
      </c>
      <c r="E236" s="125" t="n">
        <v>-16.9732</v>
      </c>
      <c r="F236" s="125" t="s">
        <v>43</v>
      </c>
      <c r="G236" s="125" t="s">
        <v>405</v>
      </c>
      <c r="H236" s="125" t="s">
        <v>208</v>
      </c>
      <c r="I236" s="126" t="s">
        <v>298</v>
      </c>
    </row>
    <row r="237" customFormat="false" ht="15" hidden="false" customHeight="true" outlineLevel="0" collapsed="false">
      <c r="A237" s="125" t="s">
        <v>6</v>
      </c>
      <c r="B237" s="126" t="s">
        <v>31</v>
      </c>
      <c r="C237" s="125" t="s">
        <v>401</v>
      </c>
      <c r="D237" s="125" t="s">
        <v>205</v>
      </c>
      <c r="E237" s="125" t="n">
        <v>600</v>
      </c>
      <c r="F237" s="125" t="s">
        <v>11</v>
      </c>
      <c r="G237" s="125" t="s">
        <v>207</v>
      </c>
      <c r="H237" s="125" t="s">
        <v>208</v>
      </c>
      <c r="I237" s="126" t="s">
        <v>245</v>
      </c>
    </row>
    <row r="238" customFormat="false" ht="15" hidden="false" customHeight="true" outlineLevel="0" collapsed="false">
      <c r="A238" s="125" t="s">
        <v>7</v>
      </c>
      <c r="B238" s="126" t="s">
        <v>31</v>
      </c>
      <c r="C238" s="125" t="s">
        <v>401</v>
      </c>
      <c r="D238" s="125" t="s">
        <v>205</v>
      </c>
      <c r="E238" s="125" t="n">
        <v>811</v>
      </c>
      <c r="F238" s="125" t="s">
        <v>11</v>
      </c>
      <c r="G238" s="125" t="s">
        <v>207</v>
      </c>
      <c r="H238" s="125" t="s">
        <v>208</v>
      </c>
      <c r="I238" s="126" t="s">
        <v>248</v>
      </c>
    </row>
    <row r="239" customFormat="false" ht="15" hidden="false" customHeight="true" outlineLevel="0" collapsed="false">
      <c r="A239" s="125" t="s">
        <v>402</v>
      </c>
      <c r="B239" s="126" t="s">
        <v>31</v>
      </c>
      <c r="C239" s="125" t="s">
        <v>401</v>
      </c>
      <c r="D239" s="125" t="s">
        <v>205</v>
      </c>
      <c r="E239" s="125" t="n">
        <v>211</v>
      </c>
      <c r="F239" s="125" t="s">
        <v>11</v>
      </c>
      <c r="G239" s="125" t="s">
        <v>403</v>
      </c>
      <c r="H239" s="125" t="s">
        <v>208</v>
      </c>
      <c r="I239" s="126"/>
    </row>
    <row r="240" customFormat="false" ht="15" hidden="false" customHeight="true" outlineLevel="0" collapsed="false">
      <c r="A240" s="125" t="s">
        <v>404</v>
      </c>
      <c r="B240" s="126" t="s">
        <v>31</v>
      </c>
      <c r="C240" s="125" t="s">
        <v>401</v>
      </c>
      <c r="D240" s="125" t="s">
        <v>205</v>
      </c>
      <c r="E240" s="125" t="n">
        <v>35.1667</v>
      </c>
      <c r="F240" s="125" t="s">
        <v>43</v>
      </c>
      <c r="G240" s="125" t="s">
        <v>405</v>
      </c>
      <c r="H240" s="125" t="s">
        <v>208</v>
      </c>
      <c r="I240" s="126" t="s">
        <v>416</v>
      </c>
    </row>
    <row r="241" customFormat="false" ht="15" hidden="false" customHeight="true" outlineLevel="0" collapsed="false">
      <c r="A241" s="125" t="s">
        <v>6</v>
      </c>
      <c r="B241" s="126" t="s">
        <v>259</v>
      </c>
      <c r="C241" s="125" t="s">
        <v>401</v>
      </c>
      <c r="D241" s="125" t="s">
        <v>205</v>
      </c>
      <c r="E241" s="125" t="n">
        <v>108</v>
      </c>
      <c r="F241" s="125" t="s">
        <v>11</v>
      </c>
      <c r="G241" s="125" t="s">
        <v>207</v>
      </c>
      <c r="H241" s="125" t="s">
        <v>208</v>
      </c>
      <c r="I241" s="126" t="s">
        <v>262</v>
      </c>
    </row>
    <row r="242" customFormat="false" ht="15" hidden="false" customHeight="true" outlineLevel="0" collapsed="false">
      <c r="A242" s="125" t="s">
        <v>7</v>
      </c>
      <c r="B242" s="126" t="s">
        <v>259</v>
      </c>
      <c r="C242" s="125" t="s">
        <v>401</v>
      </c>
      <c r="D242" s="125" t="s">
        <v>205</v>
      </c>
      <c r="E242" s="125" t="n">
        <v>963</v>
      </c>
      <c r="F242" s="125" t="s">
        <v>11</v>
      </c>
      <c r="G242" s="125" t="s">
        <v>207</v>
      </c>
      <c r="H242" s="125" t="s">
        <v>208</v>
      </c>
      <c r="I242" s="126" t="s">
        <v>263</v>
      </c>
    </row>
    <row r="243" customFormat="false" ht="15" hidden="false" customHeight="true" outlineLevel="0" collapsed="false">
      <c r="A243" s="125" t="s">
        <v>402</v>
      </c>
      <c r="B243" s="126" t="s">
        <v>259</v>
      </c>
      <c r="C243" s="125" t="s">
        <v>401</v>
      </c>
      <c r="D243" s="125" t="s">
        <v>205</v>
      </c>
      <c r="E243" s="125" t="n">
        <v>855</v>
      </c>
      <c r="F243" s="125" t="s">
        <v>11</v>
      </c>
      <c r="G243" s="125" t="s">
        <v>403</v>
      </c>
      <c r="H243" s="125" t="s">
        <v>208</v>
      </c>
      <c r="I243" s="126"/>
    </row>
    <row r="244" customFormat="false" ht="15" hidden="false" customHeight="true" outlineLevel="0" collapsed="false">
      <c r="A244" s="125" t="s">
        <v>404</v>
      </c>
      <c r="B244" s="126" t="s">
        <v>259</v>
      </c>
      <c r="C244" s="125" t="s">
        <v>401</v>
      </c>
      <c r="D244" s="125" t="s">
        <v>205</v>
      </c>
      <c r="E244" s="125" t="n">
        <v>791.6667</v>
      </c>
      <c r="F244" s="125" t="s">
        <v>43</v>
      </c>
      <c r="G244" s="125" t="s">
        <v>405</v>
      </c>
      <c r="H244" s="125" t="s">
        <v>208</v>
      </c>
      <c r="I244" s="126" t="s">
        <v>301</v>
      </c>
    </row>
    <row r="245" customFormat="false" ht="15" hidden="false" customHeight="true" outlineLevel="0" collapsed="false">
      <c r="A245" s="125" t="s">
        <v>6</v>
      </c>
      <c r="B245" s="126" t="s">
        <v>159</v>
      </c>
      <c r="C245" s="125" t="s">
        <v>401</v>
      </c>
      <c r="D245" s="125" t="s">
        <v>205</v>
      </c>
      <c r="E245" s="125" t="n">
        <v>1399</v>
      </c>
      <c r="F245" s="125" t="s">
        <v>11</v>
      </c>
      <c r="G245" s="125" t="s">
        <v>207</v>
      </c>
      <c r="H245" s="125" t="s">
        <v>208</v>
      </c>
      <c r="I245" s="126" t="s">
        <v>265</v>
      </c>
    </row>
    <row r="246" customFormat="false" ht="15" hidden="false" customHeight="true" outlineLevel="0" collapsed="false">
      <c r="A246" s="125" t="s">
        <v>7</v>
      </c>
      <c r="B246" s="126" t="s">
        <v>159</v>
      </c>
      <c r="C246" s="125" t="s">
        <v>401</v>
      </c>
      <c r="D246" s="125" t="s">
        <v>205</v>
      </c>
      <c r="E246" s="125" t="n">
        <v>963</v>
      </c>
      <c r="F246" s="125" t="s">
        <v>11</v>
      </c>
      <c r="G246" s="125" t="s">
        <v>207</v>
      </c>
      <c r="H246" s="125" t="s">
        <v>208</v>
      </c>
      <c r="I246" s="126" t="s">
        <v>263</v>
      </c>
    </row>
    <row r="247" customFormat="false" ht="15" hidden="false" customHeight="true" outlineLevel="0" collapsed="false">
      <c r="A247" s="125" t="s">
        <v>402</v>
      </c>
      <c r="B247" s="126" t="s">
        <v>159</v>
      </c>
      <c r="C247" s="125" t="s">
        <v>401</v>
      </c>
      <c r="D247" s="125" t="s">
        <v>205</v>
      </c>
      <c r="E247" s="125" t="n">
        <v>-436</v>
      </c>
      <c r="F247" s="125" t="s">
        <v>11</v>
      </c>
      <c r="G247" s="125" t="s">
        <v>403</v>
      </c>
      <c r="H247" s="125" t="s">
        <v>208</v>
      </c>
      <c r="I247" s="126"/>
    </row>
    <row r="248" customFormat="false" ht="15" hidden="false" customHeight="true" outlineLevel="0" collapsed="false">
      <c r="A248" s="125" t="s">
        <v>404</v>
      </c>
      <c r="B248" s="126" t="s">
        <v>159</v>
      </c>
      <c r="C248" s="125" t="s">
        <v>401</v>
      </c>
      <c r="D248" s="125" t="s">
        <v>205</v>
      </c>
      <c r="E248" s="125" t="n">
        <v>-31.1651</v>
      </c>
      <c r="F248" s="125" t="s">
        <v>43</v>
      </c>
      <c r="G248" s="125" t="s">
        <v>405</v>
      </c>
      <c r="H248" s="125" t="s">
        <v>208</v>
      </c>
      <c r="I248" s="126" t="s">
        <v>417</v>
      </c>
    </row>
    <row r="249" customFormat="false" ht="15" hidden="false" customHeight="true" outlineLevel="0" collapsed="false">
      <c r="A249" s="125" t="s">
        <v>6</v>
      </c>
      <c r="B249" s="126" t="s">
        <v>60</v>
      </c>
      <c r="C249" s="125" t="s">
        <v>401</v>
      </c>
      <c r="D249" s="125" t="s">
        <v>359</v>
      </c>
      <c r="E249" s="125" t="n">
        <v>4359</v>
      </c>
      <c r="F249" s="125" t="s">
        <v>11</v>
      </c>
      <c r="G249" s="125" t="s">
        <v>207</v>
      </c>
      <c r="H249" s="125" t="s">
        <v>208</v>
      </c>
      <c r="I249" s="126" t="s">
        <v>363</v>
      </c>
    </row>
    <row r="250" customFormat="false" ht="15" hidden="false" customHeight="true" outlineLevel="0" collapsed="false">
      <c r="A250" s="125" t="s">
        <v>7</v>
      </c>
      <c r="B250" s="126" t="s">
        <v>60</v>
      </c>
      <c r="C250" s="125" t="s">
        <v>401</v>
      </c>
      <c r="D250" s="125" t="s">
        <v>359</v>
      </c>
      <c r="E250" s="125" t="n">
        <v>4550</v>
      </c>
      <c r="F250" s="125" t="s">
        <v>11</v>
      </c>
      <c r="G250" s="125" t="s">
        <v>207</v>
      </c>
      <c r="H250" s="125" t="s">
        <v>208</v>
      </c>
      <c r="I250" s="126" t="s">
        <v>364</v>
      </c>
    </row>
    <row r="251" customFormat="false" ht="15" hidden="false" customHeight="true" outlineLevel="0" collapsed="false">
      <c r="A251" s="125" t="s">
        <v>402</v>
      </c>
      <c r="B251" s="126" t="s">
        <v>60</v>
      </c>
      <c r="C251" s="125" t="s">
        <v>401</v>
      </c>
      <c r="D251" s="125" t="s">
        <v>359</v>
      </c>
      <c r="E251" s="125" t="n">
        <v>191</v>
      </c>
      <c r="F251" s="125" t="s">
        <v>11</v>
      </c>
      <c r="G251" s="125" t="s">
        <v>403</v>
      </c>
      <c r="H251" s="125" t="s">
        <v>208</v>
      </c>
      <c r="I251" s="126"/>
    </row>
    <row r="252" customFormat="false" ht="15" hidden="false" customHeight="true" outlineLevel="0" collapsed="false">
      <c r="A252" s="125" t="s">
        <v>404</v>
      </c>
      <c r="B252" s="126" t="s">
        <v>60</v>
      </c>
      <c r="C252" s="125" t="s">
        <v>401</v>
      </c>
      <c r="D252" s="125" t="s">
        <v>359</v>
      </c>
      <c r="E252" s="125" t="n">
        <v>4.3817</v>
      </c>
      <c r="F252" s="125" t="s">
        <v>43</v>
      </c>
      <c r="G252" s="125" t="s">
        <v>405</v>
      </c>
      <c r="H252" s="125" t="s">
        <v>208</v>
      </c>
      <c r="I252" s="126" t="s">
        <v>276</v>
      </c>
    </row>
    <row r="253" customFormat="false" ht="15" hidden="false" customHeight="true" outlineLevel="0" collapsed="false">
      <c r="A253" s="125" t="s">
        <v>6</v>
      </c>
      <c r="B253" s="126" t="s">
        <v>64</v>
      </c>
      <c r="C253" s="125" t="s">
        <v>401</v>
      </c>
      <c r="D253" s="125" t="s">
        <v>359</v>
      </c>
      <c r="E253" s="125" t="n">
        <v>2082</v>
      </c>
      <c r="F253" s="125" t="s">
        <v>11</v>
      </c>
      <c r="G253" s="125" t="s">
        <v>207</v>
      </c>
      <c r="H253" s="125" t="s">
        <v>208</v>
      </c>
      <c r="I253" s="126" t="s">
        <v>375</v>
      </c>
    </row>
    <row r="254" customFormat="false" ht="15" hidden="false" customHeight="true" outlineLevel="0" collapsed="false">
      <c r="A254" s="125" t="s">
        <v>7</v>
      </c>
      <c r="B254" s="126" t="s">
        <v>64</v>
      </c>
      <c r="C254" s="125" t="s">
        <v>401</v>
      </c>
      <c r="D254" s="125" t="s">
        <v>359</v>
      </c>
      <c r="E254" s="125" t="n">
        <v>2624</v>
      </c>
      <c r="F254" s="125" t="s">
        <v>11</v>
      </c>
      <c r="G254" s="125" t="s">
        <v>207</v>
      </c>
      <c r="H254" s="125" t="s">
        <v>208</v>
      </c>
      <c r="I254" s="126" t="s">
        <v>376</v>
      </c>
    </row>
    <row r="255" customFormat="false" ht="15" hidden="false" customHeight="true" outlineLevel="0" collapsed="false">
      <c r="A255" s="125" t="s">
        <v>402</v>
      </c>
      <c r="B255" s="126" t="s">
        <v>64</v>
      </c>
      <c r="C255" s="125" t="s">
        <v>401</v>
      </c>
      <c r="D255" s="125" t="s">
        <v>359</v>
      </c>
      <c r="E255" s="125" t="n">
        <v>542</v>
      </c>
      <c r="F255" s="125" t="s">
        <v>11</v>
      </c>
      <c r="G255" s="125" t="s">
        <v>403</v>
      </c>
      <c r="H255" s="125" t="s">
        <v>208</v>
      </c>
      <c r="I255" s="126"/>
    </row>
    <row r="256" customFormat="false" ht="15" hidden="false" customHeight="true" outlineLevel="0" collapsed="false">
      <c r="A256" s="125" t="s">
        <v>404</v>
      </c>
      <c r="B256" s="126" t="s">
        <v>64</v>
      </c>
      <c r="C256" s="125" t="s">
        <v>401</v>
      </c>
      <c r="D256" s="125" t="s">
        <v>359</v>
      </c>
      <c r="E256" s="125" t="n">
        <v>26.0327</v>
      </c>
      <c r="F256" s="125" t="s">
        <v>43</v>
      </c>
      <c r="G256" s="125" t="s">
        <v>405</v>
      </c>
      <c r="H256" s="125" t="s">
        <v>208</v>
      </c>
      <c r="I256" s="126" t="s">
        <v>394</v>
      </c>
    </row>
    <row r="257" customFormat="false" ht="15" hidden="false" customHeight="true" outlineLevel="0" collapsed="false">
      <c r="A257" s="125" t="s">
        <v>77</v>
      </c>
      <c r="B257" s="126" t="s">
        <v>80</v>
      </c>
      <c r="C257" s="125" t="s">
        <v>418</v>
      </c>
      <c r="D257" s="125" t="s">
        <v>100</v>
      </c>
      <c r="E257" s="125" t="n">
        <v>2.82</v>
      </c>
      <c r="F257" s="125" t="s">
        <v>43</v>
      </c>
      <c r="G257" s="125" t="s">
        <v>419</v>
      </c>
      <c r="H257" s="125" t="s">
        <v>213</v>
      </c>
      <c r="I257" s="126" t="s">
        <v>420</v>
      </c>
    </row>
    <row r="258" customFormat="false" ht="15" hidden="false" customHeight="true" outlineLevel="0" collapsed="false">
      <c r="A258" s="125" t="s">
        <v>176</v>
      </c>
      <c r="B258" s="126" t="s">
        <v>80</v>
      </c>
      <c r="C258" s="125" t="s">
        <v>418</v>
      </c>
      <c r="D258" s="125" t="s">
        <v>100</v>
      </c>
      <c r="E258" s="125" t="n">
        <v>4.32</v>
      </c>
      <c r="F258" s="125" t="s">
        <v>43</v>
      </c>
      <c r="G258" s="125" t="s">
        <v>419</v>
      </c>
      <c r="H258" s="125" t="s">
        <v>213</v>
      </c>
      <c r="I258" s="126" t="s">
        <v>292</v>
      </c>
    </row>
    <row r="259" customFormat="false" ht="15" hidden="false" customHeight="true" outlineLevel="0" collapsed="false">
      <c r="A259" s="125" t="s">
        <v>78</v>
      </c>
      <c r="B259" s="126" t="s">
        <v>80</v>
      </c>
      <c r="C259" s="125" t="s">
        <v>418</v>
      </c>
      <c r="D259" s="125" t="s">
        <v>100</v>
      </c>
      <c r="E259" s="125" t="n">
        <v>5.82</v>
      </c>
      <c r="F259" s="125" t="s">
        <v>43</v>
      </c>
      <c r="G259" s="125" t="s">
        <v>419</v>
      </c>
      <c r="H259" s="125" t="s">
        <v>213</v>
      </c>
      <c r="I259" s="126" t="s">
        <v>421</v>
      </c>
    </row>
    <row r="260" customFormat="false" ht="15" hidden="false" customHeight="true" outlineLevel="0" collapsed="false">
      <c r="A260" s="125" t="s">
        <v>77</v>
      </c>
      <c r="B260" s="126" t="s">
        <v>42</v>
      </c>
      <c r="C260" s="125" t="s">
        <v>418</v>
      </c>
      <c r="D260" s="125" t="s">
        <v>100</v>
      </c>
      <c r="E260" s="125" t="n">
        <v>26.55</v>
      </c>
      <c r="F260" s="125" t="s">
        <v>43</v>
      </c>
      <c r="G260" s="125" t="s">
        <v>419</v>
      </c>
      <c r="H260" s="125" t="s">
        <v>213</v>
      </c>
      <c r="I260" s="126" t="s">
        <v>422</v>
      </c>
    </row>
    <row r="261" customFormat="false" ht="15" hidden="false" customHeight="true" outlineLevel="0" collapsed="false">
      <c r="A261" s="125" t="s">
        <v>176</v>
      </c>
      <c r="B261" s="126" t="s">
        <v>42</v>
      </c>
      <c r="C261" s="125" t="s">
        <v>418</v>
      </c>
      <c r="D261" s="125" t="s">
        <v>100</v>
      </c>
      <c r="E261" s="125" t="n">
        <v>26.88</v>
      </c>
      <c r="F261" s="125" t="s">
        <v>43</v>
      </c>
      <c r="G261" s="125" t="s">
        <v>419</v>
      </c>
      <c r="H261" s="125" t="s">
        <v>213</v>
      </c>
      <c r="I261" s="126" t="s">
        <v>183</v>
      </c>
    </row>
    <row r="262" customFormat="false" ht="15" hidden="false" customHeight="true" outlineLevel="0" collapsed="false">
      <c r="A262" s="125" t="s">
        <v>78</v>
      </c>
      <c r="B262" s="126" t="s">
        <v>42</v>
      </c>
      <c r="C262" s="125" t="s">
        <v>418</v>
      </c>
      <c r="D262" s="125" t="s">
        <v>100</v>
      </c>
      <c r="E262" s="125" t="n">
        <v>27.21</v>
      </c>
      <c r="F262" s="125" t="s">
        <v>43</v>
      </c>
      <c r="G262" s="125" t="s">
        <v>419</v>
      </c>
      <c r="H262" s="125" t="s">
        <v>213</v>
      </c>
      <c r="I262" s="126" t="s">
        <v>184</v>
      </c>
    </row>
    <row r="263" customFormat="false" ht="15" hidden="false" customHeight="true" outlineLevel="0" collapsed="false">
      <c r="A263" s="125" t="s">
        <v>77</v>
      </c>
      <c r="B263" s="126" t="s">
        <v>45</v>
      </c>
      <c r="C263" s="125" t="s">
        <v>418</v>
      </c>
      <c r="D263" s="125" t="s">
        <v>100</v>
      </c>
      <c r="E263" s="125" t="n">
        <v>22.39</v>
      </c>
      <c r="F263" s="125" t="s">
        <v>43</v>
      </c>
      <c r="G263" s="125" t="s">
        <v>419</v>
      </c>
      <c r="H263" s="125" t="s">
        <v>213</v>
      </c>
      <c r="I263" s="126" t="s">
        <v>186</v>
      </c>
    </row>
    <row r="264" customFormat="false" ht="15" hidden="false" customHeight="true" outlineLevel="0" collapsed="false">
      <c r="A264" s="125" t="s">
        <v>176</v>
      </c>
      <c r="B264" s="126" t="s">
        <v>45</v>
      </c>
      <c r="C264" s="125" t="s">
        <v>418</v>
      </c>
      <c r="D264" s="125" t="s">
        <v>100</v>
      </c>
      <c r="E264" s="125" t="n">
        <v>22.83</v>
      </c>
      <c r="F264" s="125" t="s">
        <v>43</v>
      </c>
      <c r="G264" s="125" t="s">
        <v>419</v>
      </c>
      <c r="H264" s="125" t="s">
        <v>213</v>
      </c>
      <c r="I264" s="126" t="s">
        <v>187</v>
      </c>
    </row>
    <row r="265" customFormat="false" ht="15" hidden="false" customHeight="true" outlineLevel="0" collapsed="false">
      <c r="A265" s="125" t="s">
        <v>78</v>
      </c>
      <c r="B265" s="126" t="s">
        <v>45</v>
      </c>
      <c r="C265" s="125" t="s">
        <v>418</v>
      </c>
      <c r="D265" s="125" t="s">
        <v>100</v>
      </c>
      <c r="E265" s="125" t="n">
        <v>23.27</v>
      </c>
      <c r="F265" s="125" t="s">
        <v>43</v>
      </c>
      <c r="G265" s="125" t="s">
        <v>419</v>
      </c>
      <c r="H265" s="125" t="s">
        <v>213</v>
      </c>
      <c r="I265" s="126" t="s">
        <v>188</v>
      </c>
    </row>
    <row r="266" customFormat="false" ht="15" hidden="false" customHeight="true" outlineLevel="0" collapsed="false">
      <c r="A266" s="125" t="s">
        <v>77</v>
      </c>
      <c r="B266" s="126" t="s">
        <v>31</v>
      </c>
      <c r="C266" s="125" t="s">
        <v>418</v>
      </c>
      <c r="D266" s="125" t="s">
        <v>100</v>
      </c>
      <c r="E266" s="125" t="n">
        <v>870</v>
      </c>
      <c r="F266" s="125" t="s">
        <v>11</v>
      </c>
      <c r="G266" s="125" t="s">
        <v>419</v>
      </c>
      <c r="H266" s="125" t="s">
        <v>213</v>
      </c>
      <c r="I266" s="126" t="s">
        <v>189</v>
      </c>
    </row>
    <row r="267" customFormat="false" ht="15" hidden="false" customHeight="true" outlineLevel="0" collapsed="false">
      <c r="A267" s="125" t="s">
        <v>176</v>
      </c>
      <c r="B267" s="126" t="s">
        <v>31</v>
      </c>
      <c r="C267" s="125" t="s">
        <v>418</v>
      </c>
      <c r="D267" s="125" t="s">
        <v>100</v>
      </c>
      <c r="E267" s="125" t="n">
        <v>880</v>
      </c>
      <c r="F267" s="125" t="s">
        <v>11</v>
      </c>
      <c r="G267" s="125" t="s">
        <v>419</v>
      </c>
      <c r="H267" s="125" t="s">
        <v>213</v>
      </c>
      <c r="I267" s="126" t="s">
        <v>190</v>
      </c>
    </row>
    <row r="268" customFormat="false" ht="15" hidden="false" customHeight="true" outlineLevel="0" collapsed="false">
      <c r="A268" s="125" t="s">
        <v>78</v>
      </c>
      <c r="B268" s="126" t="s">
        <v>31</v>
      </c>
      <c r="C268" s="125" t="s">
        <v>418</v>
      </c>
      <c r="D268" s="125" t="s">
        <v>100</v>
      </c>
      <c r="E268" s="125" t="n">
        <v>890</v>
      </c>
      <c r="F268" s="125" t="s">
        <v>11</v>
      </c>
      <c r="G268" s="125" t="s">
        <v>419</v>
      </c>
      <c r="H268" s="125" t="s">
        <v>213</v>
      </c>
      <c r="I268" s="126" t="s">
        <v>191</v>
      </c>
    </row>
    <row r="269" customFormat="false" ht="15" hidden="false" customHeight="true" outlineLevel="0" collapsed="false">
      <c r="A269" s="125" t="s">
        <v>77</v>
      </c>
      <c r="B269" s="126" t="s">
        <v>88</v>
      </c>
      <c r="C269" s="125" t="s">
        <v>418</v>
      </c>
      <c r="D269" s="125" t="s">
        <v>100</v>
      </c>
      <c r="E269" s="125" t="n">
        <v>28</v>
      </c>
      <c r="F269" s="125" t="s">
        <v>43</v>
      </c>
      <c r="G269" s="125" t="s">
        <v>419</v>
      </c>
      <c r="H269" s="125" t="s">
        <v>213</v>
      </c>
      <c r="I269" s="126" t="s">
        <v>194</v>
      </c>
    </row>
    <row r="270" customFormat="false" ht="15" hidden="false" customHeight="true" outlineLevel="0" collapsed="false">
      <c r="A270" s="125" t="s">
        <v>176</v>
      </c>
      <c r="B270" s="126" t="s">
        <v>88</v>
      </c>
      <c r="C270" s="125" t="s">
        <v>418</v>
      </c>
      <c r="D270" s="125" t="s">
        <v>100</v>
      </c>
      <c r="E270" s="125" t="n">
        <v>29</v>
      </c>
      <c r="F270" s="125" t="s">
        <v>43</v>
      </c>
      <c r="G270" s="125" t="s">
        <v>419</v>
      </c>
      <c r="H270" s="125" t="s">
        <v>213</v>
      </c>
      <c r="I270" s="126" t="s">
        <v>195</v>
      </c>
    </row>
    <row r="271" customFormat="false" ht="15" hidden="false" customHeight="true" outlineLevel="0" collapsed="false">
      <c r="A271" s="125" t="s">
        <v>78</v>
      </c>
      <c r="B271" s="126" t="s">
        <v>88</v>
      </c>
      <c r="C271" s="125" t="s">
        <v>418</v>
      </c>
      <c r="D271" s="125" t="s">
        <v>100</v>
      </c>
      <c r="E271" s="125" t="n">
        <v>30</v>
      </c>
      <c r="F271" s="125" t="s">
        <v>43</v>
      </c>
      <c r="G271" s="125" t="s">
        <v>419</v>
      </c>
      <c r="H271" s="125" t="s">
        <v>213</v>
      </c>
      <c r="I271" s="126" t="s">
        <v>196</v>
      </c>
    </row>
    <row r="272" customFormat="false" ht="14.25" hidden="false" customHeight="false" outlineLevel="0" collapsed="false">
      <c r="A272" s="125" t="s">
        <v>423</v>
      </c>
      <c r="B272" s="126" t="s">
        <v>424</v>
      </c>
      <c r="C272" s="125" t="s">
        <v>425</v>
      </c>
      <c r="D272" s="125" t="s">
        <v>426</v>
      </c>
      <c r="E272" s="125" t="n">
        <v>3317</v>
      </c>
      <c r="F272" s="125" t="s">
        <v>11</v>
      </c>
      <c r="G272" s="125" t="s">
        <v>425</v>
      </c>
      <c r="H272" s="125" t="s">
        <v>208</v>
      </c>
      <c r="I272" s="125" t="s">
        <v>427</v>
      </c>
    </row>
    <row r="273" customFormat="false" ht="14.25" hidden="false" customHeight="false" outlineLevel="0" collapsed="false">
      <c r="A273" s="125" t="s">
        <v>15</v>
      </c>
      <c r="B273" s="126" t="s">
        <v>428</v>
      </c>
      <c r="C273" s="125" t="s">
        <v>425</v>
      </c>
      <c r="D273" s="125" t="s">
        <v>426</v>
      </c>
      <c r="E273" s="125" t="n">
        <v>263</v>
      </c>
      <c r="F273" s="125" t="s">
        <v>11</v>
      </c>
      <c r="G273" s="125" t="s">
        <v>425</v>
      </c>
      <c r="H273" s="125" t="s">
        <v>208</v>
      </c>
      <c r="I273" s="125" t="s">
        <v>429</v>
      </c>
    </row>
    <row r="274" customFormat="false" ht="14.25" hidden="false" customHeight="false" outlineLevel="0" collapsed="false">
      <c r="A274" s="125" t="s">
        <v>430</v>
      </c>
      <c r="B274" s="126" t="s">
        <v>431</v>
      </c>
      <c r="C274" s="125" t="s">
        <v>425</v>
      </c>
      <c r="D274" s="125" t="s">
        <v>426</v>
      </c>
      <c r="E274" s="125" t="n">
        <v>-789</v>
      </c>
      <c r="F274" s="125" t="s">
        <v>11</v>
      </c>
      <c r="G274" s="125" t="s">
        <v>425</v>
      </c>
      <c r="H274" s="125" t="s">
        <v>208</v>
      </c>
      <c r="I274" s="125" t="s">
        <v>432</v>
      </c>
    </row>
    <row r="275" customFormat="false" ht="14.25" hidden="false" customHeight="false" outlineLevel="0" collapsed="false">
      <c r="A275" s="125" t="s">
        <v>433</v>
      </c>
      <c r="B275" s="126" t="s">
        <v>434</v>
      </c>
      <c r="C275" s="125" t="s">
        <v>425</v>
      </c>
      <c r="D275" s="125" t="s">
        <v>426</v>
      </c>
      <c r="E275" s="125" t="n">
        <v>-71</v>
      </c>
      <c r="F275" s="125" t="s">
        <v>11</v>
      </c>
      <c r="G275" s="125" t="s">
        <v>425</v>
      </c>
      <c r="H275" s="125" t="s">
        <v>208</v>
      </c>
      <c r="I275" s="125" t="s">
        <v>435</v>
      </c>
    </row>
    <row r="276" customFormat="false" ht="14.25" hidden="false" customHeight="false" outlineLevel="0" collapsed="false">
      <c r="A276" s="125" t="s">
        <v>436</v>
      </c>
      <c r="B276" s="126" t="s">
        <v>437</v>
      </c>
      <c r="C276" s="125" t="s">
        <v>425</v>
      </c>
      <c r="D276" s="125" t="s">
        <v>426</v>
      </c>
      <c r="E276" s="125" t="n">
        <v>34</v>
      </c>
      <c r="F276" s="125" t="s">
        <v>11</v>
      </c>
      <c r="G276" s="125" t="s">
        <v>425</v>
      </c>
      <c r="H276" s="125" t="s">
        <v>208</v>
      </c>
      <c r="I276" s="125" t="s">
        <v>438</v>
      </c>
    </row>
    <row r="277" customFormat="false" ht="14.25" hidden="false" customHeight="false" outlineLevel="0" collapsed="false">
      <c r="A277" s="125" t="s">
        <v>439</v>
      </c>
      <c r="B277" s="126" t="s">
        <v>440</v>
      </c>
      <c r="C277" s="125" t="s">
        <v>425</v>
      </c>
      <c r="D277" s="125" t="s">
        <v>426</v>
      </c>
      <c r="E277" s="125" t="n">
        <v>2754</v>
      </c>
      <c r="F277" s="125" t="s">
        <v>11</v>
      </c>
      <c r="G277" s="125" t="s">
        <v>425</v>
      </c>
      <c r="H277" s="125" t="s">
        <v>208</v>
      </c>
      <c r="I277" s="125" t="s">
        <v>441</v>
      </c>
    </row>
    <row r="278" customFormat="false" ht="14.25" hidden="false" customHeight="false" outlineLevel="0" collapsed="false">
      <c r="A278" s="125" t="s">
        <v>4</v>
      </c>
      <c r="B278" s="126" t="s">
        <v>442</v>
      </c>
      <c r="C278" s="125" t="s">
        <v>303</v>
      </c>
      <c r="D278" s="125" t="s">
        <v>443</v>
      </c>
      <c r="E278" s="125" t="n">
        <v>6110</v>
      </c>
      <c r="F278" s="125" t="s">
        <v>11</v>
      </c>
      <c r="G278" s="125" t="s">
        <v>444</v>
      </c>
      <c r="H278" s="125" t="s">
        <v>208</v>
      </c>
      <c r="I278" s="125" t="s">
        <v>305</v>
      </c>
    </row>
    <row r="279" customFormat="false" ht="14.25" hidden="false" customHeight="false" outlineLevel="0" collapsed="false">
      <c r="A279" s="125" t="s">
        <v>4</v>
      </c>
      <c r="B279" s="126" t="s">
        <v>445</v>
      </c>
      <c r="C279" s="125" t="s">
        <v>303</v>
      </c>
      <c r="D279" s="125" t="s">
        <v>443</v>
      </c>
      <c r="E279" s="125" t="n">
        <v>27163</v>
      </c>
      <c r="F279" s="125" t="s">
        <v>11</v>
      </c>
      <c r="G279" s="125" t="s">
        <v>444</v>
      </c>
      <c r="H279" s="125" t="s">
        <v>208</v>
      </c>
      <c r="I279" s="125" t="s">
        <v>309</v>
      </c>
    </row>
    <row r="280" customFormat="false" ht="14.25" hidden="false" customHeight="false" outlineLevel="0" collapsed="false">
      <c r="A280" s="125" t="s">
        <v>5</v>
      </c>
      <c r="B280" s="126" t="s">
        <v>442</v>
      </c>
      <c r="C280" s="125" t="s">
        <v>303</v>
      </c>
      <c r="D280" s="125" t="s">
        <v>443</v>
      </c>
      <c r="E280" s="125" t="n">
        <v>6375</v>
      </c>
      <c r="F280" s="125" t="s">
        <v>11</v>
      </c>
      <c r="G280" s="125" t="s">
        <v>444</v>
      </c>
      <c r="H280" s="125" t="s">
        <v>208</v>
      </c>
      <c r="I280" s="125" t="s">
        <v>306</v>
      </c>
    </row>
    <row r="281" customFormat="false" ht="14.25" hidden="false" customHeight="false" outlineLevel="0" collapsed="false">
      <c r="A281" s="125" t="s">
        <v>5</v>
      </c>
      <c r="B281" s="126" t="s">
        <v>445</v>
      </c>
      <c r="C281" s="125" t="s">
        <v>303</v>
      </c>
      <c r="D281" s="125" t="s">
        <v>443</v>
      </c>
      <c r="E281" s="125" t="n">
        <v>27273</v>
      </c>
      <c r="F281" s="125" t="s">
        <v>11</v>
      </c>
      <c r="G281" s="125" t="s">
        <v>444</v>
      </c>
      <c r="H281" s="125" t="s">
        <v>208</v>
      </c>
      <c r="I281" s="125" t="s">
        <v>310</v>
      </c>
    </row>
    <row r="282" customFormat="false" ht="14.25" hidden="false" customHeight="false" outlineLevel="0" collapsed="false">
      <c r="A282" s="125" t="s">
        <v>6</v>
      </c>
      <c r="B282" s="126" t="s">
        <v>442</v>
      </c>
      <c r="C282" s="125" t="s">
        <v>303</v>
      </c>
      <c r="D282" s="125" t="s">
        <v>443</v>
      </c>
      <c r="E282" s="125" t="n">
        <v>6991</v>
      </c>
      <c r="F282" s="125" t="s">
        <v>11</v>
      </c>
      <c r="G282" s="125" t="s">
        <v>444</v>
      </c>
      <c r="H282" s="125" t="s">
        <v>208</v>
      </c>
      <c r="I282" s="125" t="s">
        <v>307</v>
      </c>
    </row>
    <row r="283" customFormat="false" ht="14.25" hidden="false" customHeight="false" outlineLevel="0" collapsed="false">
      <c r="A283" s="125" t="s">
        <v>6</v>
      </c>
      <c r="B283" s="126" t="s">
        <v>445</v>
      </c>
      <c r="C283" s="125" t="s">
        <v>303</v>
      </c>
      <c r="D283" s="125" t="s">
        <v>443</v>
      </c>
      <c r="E283" s="125" t="n">
        <v>26945</v>
      </c>
      <c r="F283" s="125" t="s">
        <v>11</v>
      </c>
      <c r="G283" s="125" t="s">
        <v>444</v>
      </c>
      <c r="H283" s="125" t="s">
        <v>208</v>
      </c>
      <c r="I283" s="125" t="s">
        <v>311</v>
      </c>
    </row>
    <row r="284" customFormat="false" ht="14.25" hidden="false" customHeight="false" outlineLevel="0" collapsed="false">
      <c r="A284" s="125" t="s">
        <v>7</v>
      </c>
      <c r="B284" s="126" t="s">
        <v>442</v>
      </c>
      <c r="C284" s="125" t="s">
        <v>303</v>
      </c>
      <c r="D284" s="125" t="s">
        <v>443</v>
      </c>
      <c r="E284" s="125" t="n">
        <v>6991</v>
      </c>
      <c r="F284" s="125" t="s">
        <v>11</v>
      </c>
      <c r="G284" s="125" t="s">
        <v>444</v>
      </c>
      <c r="H284" s="125" t="s">
        <v>208</v>
      </c>
      <c r="I284" s="125" t="s">
        <v>307</v>
      </c>
    </row>
    <row r="285" customFormat="false" ht="14.25" hidden="false" customHeight="false" outlineLevel="0" collapsed="false">
      <c r="A285" s="125" t="s">
        <v>7</v>
      </c>
      <c r="B285" s="126" t="s">
        <v>445</v>
      </c>
      <c r="C285" s="125" t="s">
        <v>303</v>
      </c>
      <c r="D285" s="125" t="s">
        <v>443</v>
      </c>
      <c r="E285" s="125" t="n">
        <v>26838</v>
      </c>
      <c r="F285" s="125" t="s">
        <v>11</v>
      </c>
      <c r="G285" s="125" t="s">
        <v>444</v>
      </c>
      <c r="H285" s="125" t="s">
        <v>208</v>
      </c>
      <c r="I285" s="125" t="s">
        <v>312</v>
      </c>
    </row>
    <row r="286" customFormat="false" ht="14.25" hidden="false" customHeight="false" outlineLevel="0" collapsed="false">
      <c r="A286" s="125" t="s">
        <v>100</v>
      </c>
      <c r="B286" s="126" t="s">
        <v>442</v>
      </c>
      <c r="C286" s="125" t="s">
        <v>303</v>
      </c>
      <c r="D286" s="125" t="s">
        <v>443</v>
      </c>
      <c r="E286" s="125" t="n">
        <v>7305.6</v>
      </c>
      <c r="F286" s="125" t="s">
        <v>11</v>
      </c>
      <c r="G286" s="125" t="s">
        <v>444</v>
      </c>
      <c r="H286" s="125" t="s">
        <v>213</v>
      </c>
      <c r="I286" s="125" t="s">
        <v>308</v>
      </c>
    </row>
    <row r="287" customFormat="false" ht="14.25" hidden="false" customHeight="false" outlineLevel="0" collapsed="false">
      <c r="A287" s="125" t="s">
        <v>100</v>
      </c>
      <c r="B287" s="126" t="s">
        <v>445</v>
      </c>
      <c r="C287" s="125" t="s">
        <v>303</v>
      </c>
      <c r="D287" s="125" t="s">
        <v>443</v>
      </c>
      <c r="E287" s="125" t="n">
        <v>26972.19</v>
      </c>
      <c r="F287" s="125" t="s">
        <v>11</v>
      </c>
      <c r="G287" s="125" t="s">
        <v>444</v>
      </c>
      <c r="H287" s="125" t="s">
        <v>213</v>
      </c>
      <c r="I287" s="125" t="s">
        <v>313</v>
      </c>
    </row>
    <row r="288" customFormat="false" ht="14.25" hidden="false" customHeight="false" outlineLevel="0" collapsed="false">
      <c r="A288" s="125" t="s">
        <v>4</v>
      </c>
      <c r="B288" s="126" t="s">
        <v>446</v>
      </c>
      <c r="C288" s="125" t="s">
        <v>303</v>
      </c>
      <c r="D288" s="125" t="s">
        <v>443</v>
      </c>
      <c r="E288" s="125" t="n">
        <v>10750</v>
      </c>
      <c r="F288" s="125" t="s">
        <v>11</v>
      </c>
      <c r="G288" s="125" t="s">
        <v>447</v>
      </c>
      <c r="H288" s="125" t="s">
        <v>208</v>
      </c>
      <c r="I288" s="125" t="s">
        <v>320</v>
      </c>
    </row>
    <row r="289" customFormat="false" ht="14.25" hidden="false" customHeight="false" outlineLevel="0" collapsed="false">
      <c r="A289" s="125" t="s">
        <v>4</v>
      </c>
      <c r="B289" s="126" t="s">
        <v>448</v>
      </c>
      <c r="C289" s="125" t="s">
        <v>303</v>
      </c>
      <c r="D289" s="125" t="s">
        <v>443</v>
      </c>
      <c r="E289" s="125" t="n">
        <v>16419</v>
      </c>
      <c r="F289" s="125" t="s">
        <v>11</v>
      </c>
      <c r="G289" s="125" t="s">
        <v>447</v>
      </c>
      <c r="H289" s="125" t="s">
        <v>208</v>
      </c>
      <c r="I289" s="125" t="s">
        <v>325</v>
      </c>
    </row>
    <row r="290" customFormat="false" ht="14.25" hidden="false" customHeight="false" outlineLevel="0" collapsed="false">
      <c r="A290" s="125" t="s">
        <v>5</v>
      </c>
      <c r="B290" s="126" t="s">
        <v>446</v>
      </c>
      <c r="C290" s="125" t="s">
        <v>303</v>
      </c>
      <c r="D290" s="125" t="s">
        <v>443</v>
      </c>
      <c r="E290" s="125" t="n">
        <v>11886</v>
      </c>
      <c r="F290" s="125" t="s">
        <v>11</v>
      </c>
      <c r="G290" s="125" t="s">
        <v>447</v>
      </c>
      <c r="H290" s="125" t="s">
        <v>208</v>
      </c>
      <c r="I290" s="125" t="s">
        <v>321</v>
      </c>
    </row>
    <row r="291" customFormat="false" ht="14.25" hidden="false" customHeight="false" outlineLevel="0" collapsed="false">
      <c r="A291" s="125" t="s">
        <v>5</v>
      </c>
      <c r="B291" s="126" t="s">
        <v>448</v>
      </c>
      <c r="C291" s="125" t="s">
        <v>303</v>
      </c>
      <c r="D291" s="125" t="s">
        <v>443</v>
      </c>
      <c r="E291" s="125" t="n">
        <v>15197</v>
      </c>
      <c r="F291" s="125" t="s">
        <v>11</v>
      </c>
      <c r="G291" s="125" t="s">
        <v>447</v>
      </c>
      <c r="H291" s="125" t="s">
        <v>208</v>
      </c>
      <c r="I291" s="125" t="s">
        <v>326</v>
      </c>
    </row>
    <row r="292" customFormat="false" ht="14.25" hidden="false" customHeight="false" outlineLevel="0" collapsed="false">
      <c r="A292" s="125" t="s">
        <v>6</v>
      </c>
      <c r="B292" s="126" t="s">
        <v>446</v>
      </c>
      <c r="C292" s="125" t="s">
        <v>303</v>
      </c>
      <c r="D292" s="125" t="s">
        <v>443</v>
      </c>
      <c r="E292" s="125" t="n">
        <v>12819</v>
      </c>
      <c r="F292" s="125" t="s">
        <v>11</v>
      </c>
      <c r="G292" s="125" t="s">
        <v>447</v>
      </c>
      <c r="H292" s="125" t="s">
        <v>208</v>
      </c>
      <c r="I292" s="125" t="s">
        <v>322</v>
      </c>
    </row>
    <row r="293" customFormat="false" ht="14.25" hidden="false" customHeight="false" outlineLevel="0" collapsed="false">
      <c r="A293" s="125" t="s">
        <v>6</v>
      </c>
      <c r="B293" s="126" t="s">
        <v>448</v>
      </c>
      <c r="C293" s="125" t="s">
        <v>303</v>
      </c>
      <c r="D293" s="125" t="s">
        <v>443</v>
      </c>
      <c r="E293" s="125" t="n">
        <v>15547</v>
      </c>
      <c r="F293" s="125" t="s">
        <v>11</v>
      </c>
      <c r="G293" s="125" t="s">
        <v>447</v>
      </c>
      <c r="H293" s="125" t="s">
        <v>208</v>
      </c>
      <c r="I293" s="125" t="s">
        <v>327</v>
      </c>
    </row>
    <row r="294" customFormat="false" ht="14.25" hidden="false" customHeight="false" outlineLevel="0" collapsed="false">
      <c r="A294" s="125" t="s">
        <v>7</v>
      </c>
      <c r="B294" s="126" t="s">
        <v>446</v>
      </c>
      <c r="C294" s="125" t="s">
        <v>303</v>
      </c>
      <c r="D294" s="125" t="s">
        <v>443</v>
      </c>
      <c r="E294" s="125" t="n">
        <v>12297</v>
      </c>
      <c r="F294" s="125" t="s">
        <v>11</v>
      </c>
      <c r="G294" s="125" t="s">
        <v>447</v>
      </c>
      <c r="H294" s="125" t="s">
        <v>208</v>
      </c>
      <c r="I294" s="125" t="s">
        <v>323</v>
      </c>
    </row>
    <row r="295" customFormat="false" ht="14.25" hidden="false" customHeight="false" outlineLevel="0" collapsed="false">
      <c r="A295" s="125" t="s">
        <v>7</v>
      </c>
      <c r="B295" s="126" t="s">
        <v>448</v>
      </c>
      <c r="C295" s="125" t="s">
        <v>303</v>
      </c>
      <c r="D295" s="125" t="s">
        <v>443</v>
      </c>
      <c r="E295" s="125" t="n">
        <v>16570</v>
      </c>
      <c r="F295" s="125" t="s">
        <v>11</v>
      </c>
      <c r="G295" s="125" t="s">
        <v>447</v>
      </c>
      <c r="H295" s="125" t="s">
        <v>208</v>
      </c>
      <c r="I295" s="125" t="s">
        <v>328</v>
      </c>
    </row>
    <row r="296" customFormat="false" ht="14.25" hidden="false" customHeight="false" outlineLevel="0" collapsed="false">
      <c r="A296" s="125" t="s">
        <v>100</v>
      </c>
      <c r="B296" s="126" t="s">
        <v>446</v>
      </c>
      <c r="C296" s="125" t="s">
        <v>303</v>
      </c>
      <c r="D296" s="125" t="s">
        <v>443</v>
      </c>
      <c r="E296" s="125" t="n">
        <v>12850.37</v>
      </c>
      <c r="F296" s="125" t="s">
        <v>11</v>
      </c>
      <c r="G296" s="125" t="s">
        <v>447</v>
      </c>
      <c r="H296" s="125" t="s">
        <v>213</v>
      </c>
      <c r="I296" s="125" t="s">
        <v>324</v>
      </c>
    </row>
    <row r="297" customFormat="false" ht="14.25" hidden="false" customHeight="false" outlineLevel="0" collapsed="false">
      <c r="A297" s="125" t="s">
        <v>100</v>
      </c>
      <c r="B297" s="126" t="s">
        <v>448</v>
      </c>
      <c r="C297" s="125" t="s">
        <v>303</v>
      </c>
      <c r="D297" s="125" t="s">
        <v>443</v>
      </c>
      <c r="E297" s="125" t="n">
        <v>16619.71</v>
      </c>
      <c r="F297" s="125" t="s">
        <v>11</v>
      </c>
      <c r="G297" s="125" t="s">
        <v>447</v>
      </c>
      <c r="H297" s="125" t="s">
        <v>213</v>
      </c>
      <c r="I297" s="125" t="s">
        <v>329</v>
      </c>
    </row>
    <row r="298" customFormat="false" ht="14.25" hidden="false" customHeight="false" outlineLevel="0" collapsed="false">
      <c r="A298" s="125" t="s">
        <v>449</v>
      </c>
      <c r="B298" s="126" t="s">
        <v>450</v>
      </c>
      <c r="C298" s="125" t="s">
        <v>359</v>
      </c>
      <c r="D298" s="125" t="s">
        <v>451</v>
      </c>
      <c r="E298" s="125" t="n">
        <v>0</v>
      </c>
      <c r="F298" s="125" t="s">
        <v>43</v>
      </c>
      <c r="G298" s="125" t="s">
        <v>451</v>
      </c>
      <c r="H298" s="125" t="s">
        <v>208</v>
      </c>
      <c r="I298" s="125" t="s">
        <v>452</v>
      </c>
    </row>
    <row r="299" customFormat="false" ht="14.25" hidden="false" customHeight="false" outlineLevel="0" collapsed="false">
      <c r="A299" s="125" t="s">
        <v>453</v>
      </c>
      <c r="B299" s="126" t="s">
        <v>450</v>
      </c>
      <c r="C299" s="125" t="s">
        <v>359</v>
      </c>
      <c r="D299" s="125" t="s">
        <v>451</v>
      </c>
      <c r="E299" s="125" t="n">
        <v>100</v>
      </c>
      <c r="F299" s="125" t="s">
        <v>43</v>
      </c>
      <c r="G299" s="125" t="s">
        <v>451</v>
      </c>
      <c r="H299" s="125" t="s">
        <v>208</v>
      </c>
      <c r="I299" s="125" t="s">
        <v>454</v>
      </c>
    </row>
    <row r="300" customFormat="false" ht="14.25" hidden="false" customHeight="false" outlineLevel="0" collapsed="false">
      <c r="A300" s="125" t="s">
        <v>455</v>
      </c>
      <c r="B300" s="126" t="s">
        <v>450</v>
      </c>
      <c r="C300" s="125" t="s">
        <v>359</v>
      </c>
      <c r="D300" s="125" t="s">
        <v>451</v>
      </c>
      <c r="E300" s="125" t="n">
        <v>50</v>
      </c>
      <c r="F300" s="125" t="s">
        <v>43</v>
      </c>
      <c r="G300" s="125" t="s">
        <v>451</v>
      </c>
      <c r="H300" s="125" t="s">
        <v>208</v>
      </c>
      <c r="I300" s="125" t="s">
        <v>456</v>
      </c>
    </row>
    <row r="301" customFormat="false" ht="14.25" hidden="false" customHeight="false" outlineLevel="0" collapsed="false">
      <c r="A301" s="125" t="s">
        <v>457</v>
      </c>
      <c r="B301" s="126" t="s">
        <v>450</v>
      </c>
      <c r="C301" s="125" t="s">
        <v>359</v>
      </c>
      <c r="D301" s="125" t="s">
        <v>451</v>
      </c>
      <c r="E301" s="125" t="n">
        <v>57.67</v>
      </c>
      <c r="F301" s="125" t="s">
        <v>43</v>
      </c>
      <c r="G301" s="125" t="s">
        <v>451</v>
      </c>
      <c r="H301" s="125" t="s">
        <v>208</v>
      </c>
      <c r="I301" s="125" t="s">
        <v>458</v>
      </c>
    </row>
    <row r="302" customFormat="false" ht="14.25" hidden="false" customHeight="false" outlineLevel="0" collapsed="false">
      <c r="A302" s="125" t="s">
        <v>4</v>
      </c>
      <c r="B302" s="126" t="s">
        <v>459</v>
      </c>
      <c r="C302" s="125" t="s">
        <v>303</v>
      </c>
      <c r="D302" s="125" t="s">
        <v>341</v>
      </c>
      <c r="E302" s="125" t="n">
        <v>3.5</v>
      </c>
      <c r="F302" s="125" t="s">
        <v>349</v>
      </c>
      <c r="G302" s="125" t="s">
        <v>460</v>
      </c>
      <c r="H302" s="125" t="s">
        <v>208</v>
      </c>
      <c r="I302" s="125" t="s">
        <v>461</v>
      </c>
    </row>
    <row r="303" customFormat="false" ht="14.25" hidden="false" customHeight="false" outlineLevel="0" collapsed="false">
      <c r="A303" s="125" t="s">
        <v>5</v>
      </c>
      <c r="B303" s="126" t="s">
        <v>459</v>
      </c>
      <c r="C303" s="125" t="s">
        <v>303</v>
      </c>
      <c r="D303" s="125" t="s">
        <v>341</v>
      </c>
      <c r="E303" s="125" t="n">
        <v>3.5</v>
      </c>
      <c r="F303" s="125" t="s">
        <v>349</v>
      </c>
      <c r="G303" s="125" t="s">
        <v>460</v>
      </c>
      <c r="H303" s="125" t="s">
        <v>208</v>
      </c>
      <c r="I303" s="125" t="s">
        <v>461</v>
      </c>
    </row>
    <row r="304" customFormat="false" ht="14.25" hidden="false" customHeight="false" outlineLevel="0" collapsed="false">
      <c r="A304" s="125" t="s">
        <v>6</v>
      </c>
      <c r="B304" s="126" t="s">
        <v>459</v>
      </c>
      <c r="C304" s="125" t="s">
        <v>303</v>
      </c>
      <c r="D304" s="125" t="s">
        <v>341</v>
      </c>
      <c r="E304" s="125" t="n">
        <v>3.5</v>
      </c>
      <c r="F304" s="125" t="s">
        <v>349</v>
      </c>
      <c r="G304" s="125" t="s">
        <v>460</v>
      </c>
      <c r="H304" s="125" t="s">
        <v>208</v>
      </c>
      <c r="I304" s="125" t="s">
        <v>461</v>
      </c>
    </row>
    <row r="305" customFormat="false" ht="14.25" hidden="false" customHeight="false" outlineLevel="0" collapsed="false">
      <c r="A305" s="125" t="s">
        <v>7</v>
      </c>
      <c r="B305" s="126" t="s">
        <v>459</v>
      </c>
      <c r="C305" s="125" t="s">
        <v>303</v>
      </c>
      <c r="D305" s="125" t="s">
        <v>341</v>
      </c>
      <c r="E305" s="125" t="n">
        <v>3.5</v>
      </c>
      <c r="F305" s="125" t="s">
        <v>349</v>
      </c>
      <c r="G305" s="125" t="s">
        <v>460</v>
      </c>
      <c r="H305" s="125" t="s">
        <v>208</v>
      </c>
      <c r="I305" s="125" t="s">
        <v>461</v>
      </c>
    </row>
    <row r="306" customFormat="false" ht="14.25" hidden="false" customHeight="false" outlineLevel="0" collapsed="false">
      <c r="A306" s="125" t="s">
        <v>100</v>
      </c>
      <c r="B306" s="126" t="s">
        <v>459</v>
      </c>
      <c r="C306" s="125" t="s">
        <v>303</v>
      </c>
      <c r="D306" s="125" t="s">
        <v>341</v>
      </c>
      <c r="E306" s="125" t="n">
        <v>3.5</v>
      </c>
      <c r="F306" s="125" t="s">
        <v>349</v>
      </c>
      <c r="G306" s="125" t="s">
        <v>460</v>
      </c>
      <c r="H306" s="125" t="s">
        <v>208</v>
      </c>
      <c r="I306" s="125" t="s">
        <v>461</v>
      </c>
    </row>
    <row r="307" customFormat="false" ht="14.25" hidden="false" customHeight="false" outlineLevel="0" collapsed="false">
      <c r="A307" s="125" t="s">
        <v>404</v>
      </c>
      <c r="B307" s="126" t="s">
        <v>48</v>
      </c>
      <c r="C307" s="125" t="s">
        <v>401</v>
      </c>
      <c r="D307" s="125" t="s">
        <v>205</v>
      </c>
      <c r="E307" s="125" t="n">
        <v>-0.89</v>
      </c>
      <c r="F307" s="125" t="s">
        <v>43</v>
      </c>
      <c r="G307" s="125" t="s">
        <v>405</v>
      </c>
      <c r="H307" s="125" t="s">
        <v>208</v>
      </c>
      <c r="I307" s="125" t="s">
        <v>462</v>
      </c>
    </row>
    <row r="308" customFormat="false" ht="14.25" hidden="false" customHeight="false" outlineLevel="0" collapsed="false">
      <c r="A308" s="125" t="s">
        <v>404</v>
      </c>
      <c r="B308" s="126" t="s">
        <v>45</v>
      </c>
      <c r="C308" s="125" t="s">
        <v>401</v>
      </c>
      <c r="D308" s="125" t="s">
        <v>205</v>
      </c>
      <c r="E308" s="125" t="n">
        <v>0.76</v>
      </c>
      <c r="F308" s="125" t="s">
        <v>43</v>
      </c>
      <c r="G308" s="125" t="s">
        <v>405</v>
      </c>
      <c r="H308" s="125" t="s">
        <v>208</v>
      </c>
      <c r="I308" s="125" t="s">
        <v>463</v>
      </c>
    </row>
    <row r="309" customFormat="false" ht="14.25" hidden="false" customHeight="false" outlineLevel="0" collapsed="false">
      <c r="A309" s="125" t="s">
        <v>404</v>
      </c>
      <c r="B309" s="126" t="s">
        <v>396</v>
      </c>
      <c r="C309" s="125" t="s">
        <v>401</v>
      </c>
      <c r="D309" s="125" t="s">
        <v>359</v>
      </c>
      <c r="E309" s="125" t="n">
        <v>9.89</v>
      </c>
      <c r="F309" s="125" t="s">
        <v>43</v>
      </c>
      <c r="G309" s="125" t="s">
        <v>405</v>
      </c>
      <c r="H309" s="125" t="s">
        <v>208</v>
      </c>
      <c r="I309" s="125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.88"/>
    <col collapsed="false" customWidth="true" hidden="false" outlineLevel="0" max="2" min="2" style="0" width="17.44"/>
    <col collapsed="false" customWidth="true" hidden="false" outlineLevel="0" max="3" min="3" style="0" width="6.56"/>
    <col collapsed="false" customWidth="true" hidden="false" outlineLevel="0" max="4" min="4" style="0" width="11.11"/>
    <col collapsed="false" customWidth="true" hidden="false" outlineLevel="0" max="5" min="5" style="0" width="13.56"/>
  </cols>
  <sheetData>
    <row r="1" customFormat="false" ht="14.25" hidden="false" customHeight="false" outlineLevel="0" collapsed="false">
      <c r="A1" s="123" t="s">
        <v>419</v>
      </c>
      <c r="B1" s="123" t="s">
        <v>162</v>
      </c>
      <c r="C1" s="123" t="s">
        <v>201</v>
      </c>
      <c r="D1" s="123" t="s">
        <v>465</v>
      </c>
      <c r="E1" s="123" t="s">
        <v>466</v>
      </c>
    </row>
    <row r="2" customFormat="false" ht="14.25" hidden="false" customHeight="false" outlineLevel="0" collapsed="false">
      <c r="A2" s="127" t="s">
        <v>77</v>
      </c>
      <c r="B2" s="128" t="s">
        <v>10</v>
      </c>
      <c r="C2" s="129" t="n">
        <v>71026</v>
      </c>
      <c r="D2" s="127" t="n">
        <v>1</v>
      </c>
      <c r="E2" s="127" t="n">
        <v>1</v>
      </c>
    </row>
    <row r="3" customFormat="false" ht="14.25" hidden="false" customHeight="false" outlineLevel="0" collapsed="false">
      <c r="A3" s="127" t="s">
        <v>77</v>
      </c>
      <c r="B3" s="128" t="s">
        <v>467</v>
      </c>
      <c r="C3" s="129" t="n">
        <v>52169</v>
      </c>
      <c r="D3" s="127" t="n">
        <v>2</v>
      </c>
      <c r="E3" s="127" t="n">
        <v>1</v>
      </c>
    </row>
    <row r="4" customFormat="false" ht="14.25" hidden="false" customHeight="false" outlineLevel="0" collapsed="false">
      <c r="A4" s="127" t="s">
        <v>77</v>
      </c>
      <c r="B4" s="128" t="s">
        <v>15</v>
      </c>
      <c r="C4" s="129" t="n">
        <v>18857</v>
      </c>
      <c r="D4" s="127" t="n">
        <v>3</v>
      </c>
      <c r="E4" s="127" t="n">
        <v>1</v>
      </c>
    </row>
    <row r="5" customFormat="false" ht="14.25" hidden="false" customHeight="false" outlineLevel="0" collapsed="false">
      <c r="A5" s="127" t="s">
        <v>77</v>
      </c>
      <c r="B5" s="128" t="s">
        <v>155</v>
      </c>
      <c r="C5" s="129" t="n">
        <v>15911</v>
      </c>
      <c r="D5" s="127" t="n">
        <v>4</v>
      </c>
      <c r="E5" s="127" t="n">
        <v>1</v>
      </c>
    </row>
    <row r="6" customFormat="false" ht="14.25" hidden="false" customHeight="false" outlineLevel="0" collapsed="false">
      <c r="A6" s="127" t="s">
        <v>77</v>
      </c>
      <c r="B6" s="128" t="s">
        <v>157</v>
      </c>
      <c r="C6" s="129" t="n">
        <v>2946</v>
      </c>
      <c r="D6" s="127" t="n">
        <v>5</v>
      </c>
      <c r="E6" s="127" t="n">
        <v>1</v>
      </c>
    </row>
    <row r="7" customFormat="false" ht="14.25" hidden="false" customHeight="false" outlineLevel="0" collapsed="false">
      <c r="A7" s="127" t="s">
        <v>77</v>
      </c>
      <c r="B7" s="128" t="s">
        <v>31</v>
      </c>
      <c r="C7" s="129" t="n">
        <v>870</v>
      </c>
      <c r="D7" s="127" t="n">
        <v>6</v>
      </c>
      <c r="E7" s="127" t="n">
        <v>1</v>
      </c>
    </row>
    <row r="8" customFormat="false" ht="14.25" hidden="false" customHeight="false" outlineLevel="0" collapsed="false">
      <c r="A8" s="127" t="s">
        <v>77</v>
      </c>
      <c r="B8" s="128" t="s">
        <v>159</v>
      </c>
      <c r="C8" s="129" t="n">
        <v>1493</v>
      </c>
      <c r="D8" s="127" t="n">
        <v>7</v>
      </c>
      <c r="E8" s="127" t="n">
        <v>1</v>
      </c>
    </row>
    <row r="9" customFormat="false" ht="14.25" hidden="false" customHeight="false" outlineLevel="0" collapsed="false">
      <c r="A9" s="130" t="s">
        <v>176</v>
      </c>
      <c r="B9" s="131" t="s">
        <v>10</v>
      </c>
      <c r="C9" s="132" t="n">
        <v>72060</v>
      </c>
      <c r="D9" s="130" t="n">
        <v>1</v>
      </c>
      <c r="E9" s="130" t="n">
        <v>2</v>
      </c>
    </row>
    <row r="10" customFormat="false" ht="14.25" hidden="false" customHeight="false" outlineLevel="0" collapsed="false">
      <c r="A10" s="130" t="s">
        <v>176</v>
      </c>
      <c r="B10" s="131" t="s">
        <v>467</v>
      </c>
      <c r="C10" s="132" t="n">
        <v>52690</v>
      </c>
      <c r="D10" s="130" t="n">
        <v>2</v>
      </c>
      <c r="E10" s="130" t="n">
        <v>2</v>
      </c>
    </row>
    <row r="11" customFormat="false" ht="14.25" hidden="false" customHeight="false" outlineLevel="0" collapsed="false">
      <c r="A11" s="130" t="s">
        <v>176</v>
      </c>
      <c r="B11" s="131" t="s">
        <v>15</v>
      </c>
      <c r="C11" s="132" t="n">
        <v>19370</v>
      </c>
      <c r="D11" s="130" t="n">
        <v>3</v>
      </c>
      <c r="E11" s="130" t="n">
        <v>2</v>
      </c>
    </row>
    <row r="12" customFormat="false" ht="14.25" hidden="false" customHeight="false" outlineLevel="0" collapsed="false">
      <c r="A12" s="130" t="s">
        <v>176</v>
      </c>
      <c r="B12" s="131" t="s">
        <v>155</v>
      </c>
      <c r="C12" s="132" t="n">
        <v>16452</v>
      </c>
      <c r="D12" s="130" t="n">
        <v>4</v>
      </c>
      <c r="E12" s="130" t="n">
        <v>2</v>
      </c>
    </row>
    <row r="13" customFormat="false" ht="14.25" hidden="false" customHeight="false" outlineLevel="0" collapsed="false">
      <c r="A13" s="130" t="s">
        <v>176</v>
      </c>
      <c r="B13" s="131" t="s">
        <v>157</v>
      </c>
      <c r="C13" s="132" t="n">
        <v>2918</v>
      </c>
      <c r="D13" s="130" t="n">
        <v>5</v>
      </c>
      <c r="E13" s="130" t="n">
        <v>2</v>
      </c>
    </row>
    <row r="14" customFormat="false" ht="14.25" hidden="false" customHeight="false" outlineLevel="0" collapsed="false">
      <c r="A14" s="130" t="s">
        <v>176</v>
      </c>
      <c r="B14" s="131" t="s">
        <v>31</v>
      </c>
      <c r="C14" s="132" t="n">
        <v>880</v>
      </c>
      <c r="D14" s="130" t="n">
        <v>6</v>
      </c>
      <c r="E14" s="130" t="n">
        <v>2</v>
      </c>
    </row>
    <row r="15" customFormat="false" ht="14.25" hidden="false" customHeight="false" outlineLevel="0" collapsed="false">
      <c r="A15" s="130" t="s">
        <v>176</v>
      </c>
      <c r="B15" s="131" t="s">
        <v>159</v>
      </c>
      <c r="C15" s="132" t="n">
        <v>1446</v>
      </c>
      <c r="D15" s="130" t="n">
        <v>7</v>
      </c>
      <c r="E15" s="130" t="n">
        <v>2</v>
      </c>
    </row>
    <row r="16" customFormat="false" ht="14.25" hidden="false" customHeight="false" outlineLevel="0" collapsed="false">
      <c r="A16" s="133" t="s">
        <v>78</v>
      </c>
      <c r="B16" s="134" t="s">
        <v>10</v>
      </c>
      <c r="C16" s="135" t="n">
        <v>73097</v>
      </c>
      <c r="D16" s="133" t="n">
        <v>1</v>
      </c>
      <c r="E16" s="133" t="n">
        <v>3</v>
      </c>
    </row>
    <row r="17" customFormat="false" ht="14.25" hidden="false" customHeight="false" outlineLevel="0" collapsed="false">
      <c r="A17" s="133" t="s">
        <v>78</v>
      </c>
      <c r="B17" s="134" t="s">
        <v>467</v>
      </c>
      <c r="C17" s="135" t="n">
        <v>53205</v>
      </c>
      <c r="D17" s="133" t="n">
        <v>2</v>
      </c>
      <c r="E17" s="133" t="n">
        <v>3</v>
      </c>
    </row>
    <row r="18" customFormat="false" ht="14.25" hidden="false" customHeight="false" outlineLevel="0" collapsed="false">
      <c r="A18" s="133" t="s">
        <v>78</v>
      </c>
      <c r="B18" s="134" t="s">
        <v>15</v>
      </c>
      <c r="C18" s="135" t="n">
        <v>19892</v>
      </c>
      <c r="D18" s="133" t="n">
        <v>3</v>
      </c>
      <c r="E18" s="133" t="n">
        <v>3</v>
      </c>
    </row>
    <row r="19" customFormat="false" ht="14.25" hidden="false" customHeight="false" outlineLevel="0" collapsed="false">
      <c r="A19" s="133" t="s">
        <v>78</v>
      </c>
      <c r="B19" s="134" t="s">
        <v>155</v>
      </c>
      <c r="C19" s="135" t="n">
        <v>17013</v>
      </c>
      <c r="D19" s="133" t="n">
        <v>4</v>
      </c>
      <c r="E19" s="133" t="n">
        <v>3</v>
      </c>
    </row>
    <row r="20" customFormat="false" ht="14.25" hidden="false" customHeight="false" outlineLevel="0" collapsed="false">
      <c r="A20" s="133" t="s">
        <v>78</v>
      </c>
      <c r="B20" s="134" t="s">
        <v>157</v>
      </c>
      <c r="C20" s="135" t="n">
        <v>2879</v>
      </c>
      <c r="D20" s="133" t="n">
        <v>5</v>
      </c>
      <c r="E20" s="133" t="n">
        <v>3</v>
      </c>
    </row>
    <row r="21" customFormat="false" ht="14.25" hidden="false" customHeight="false" outlineLevel="0" collapsed="false">
      <c r="A21" s="133" t="s">
        <v>78</v>
      </c>
      <c r="B21" s="134" t="s">
        <v>31</v>
      </c>
      <c r="C21" s="135" t="n">
        <v>890</v>
      </c>
      <c r="D21" s="133" t="n">
        <v>6</v>
      </c>
      <c r="E21" s="133" t="n">
        <v>3</v>
      </c>
    </row>
    <row r="22" customFormat="false" ht="14.25" hidden="false" customHeight="false" outlineLevel="0" collapsed="false">
      <c r="A22" s="133" t="s">
        <v>78</v>
      </c>
      <c r="B22" s="134" t="s">
        <v>159</v>
      </c>
      <c r="C22" s="135" t="n">
        <v>1411</v>
      </c>
      <c r="D22" s="133" t="n">
        <v>7</v>
      </c>
      <c r="E22" s="133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2026-03-11T16:13:00Z</dcterms:created>
  <dc:creator>openpyxl</dc:creator>
  <dc:description/>
  <dc:language>en-US</dc:language>
  <cp:lastModifiedBy>Ayush Bhatt</cp:lastModifiedBy>
  <dcterms:modified xsi:type="dcterms:W3CDTF">2026-04-17T06:23:26Z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